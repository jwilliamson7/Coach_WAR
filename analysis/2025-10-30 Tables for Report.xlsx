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Personal\Coach_WAR\analysis\"/>
    </mc:Choice>
  </mc:AlternateContent>
  <xr:revisionPtr revIDLastSave="0" documentId="13_ncr:1_{597BA269-3806-4D62-88E7-C3990F838C21}" xr6:coauthVersionLast="47" xr6:coauthVersionMax="47" xr10:uidLastSave="{00000000-0000-0000-0000-000000000000}"/>
  <bookViews>
    <workbookView xWindow="-110" yWindow="-110" windowWidth="38620" windowHeight="21100" activeTab="6" xr2:uid="{E7B8E32F-0AEC-4226-BFE4-04A50A9DFAB8}"/>
  </bookViews>
  <sheets>
    <sheet name="Features by Cat" sheetId="2" r:id="rId1"/>
    <sheet name="Features" sheetId="1" r:id="rId2"/>
    <sheet name="Hyperparameters" sheetId="3" r:id="rId3"/>
    <sheet name="Top Features" sheetId="4" r:id="rId4"/>
    <sheet name="Top Seasons" sheetId="5" r:id="rId5"/>
    <sheet name="Top Averages" sheetId="6" r:id="rId6"/>
    <sheet name="By Decade" sheetId="7" r:id="rId7"/>
    <sheet name="Off vs Def" sheetId="8" r:id="rId8"/>
    <sheet name="Validation" sheetId="9" r:id="rId9"/>
    <sheet name="Persistence" sheetId="10" r:id="rId10"/>
  </sheets>
  <definedNames>
    <definedName name="_xlnm._FilterDatabase" localSheetId="5" hidden="1">'Top Averages'!$H$20:$M$20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8" l="1"/>
  <c r="H8" i="8"/>
  <c r="H7" i="8"/>
  <c r="F6" i="8"/>
  <c r="E6" i="8"/>
  <c r="G4" i="8" a="1"/>
  <c r="G4" i="8" s="1"/>
  <c r="F4" i="8" a="1"/>
  <c r="F4" i="8" s="1"/>
  <c r="E4" i="8" a="1"/>
  <c r="E4" i="8" s="1"/>
  <c r="C4" i="8" a="1"/>
  <c r="C4" i="8" s="1"/>
  <c r="E13" i="7"/>
  <c r="C11" i="7" a="1"/>
  <c r="C11" i="7" s="1"/>
  <c r="C10" i="7" a="1"/>
  <c r="C10" i="7" s="1"/>
  <c r="C9" i="7" a="1"/>
  <c r="C9" i="7" s="1"/>
  <c r="C8" i="7" a="1"/>
  <c r="C8" i="7" s="1"/>
  <c r="C7" i="7" a="1"/>
  <c r="C7" i="7" s="1"/>
  <c r="J54" i="7"/>
  <c r="I54" i="7"/>
  <c r="H54" i="7"/>
  <c r="G54" i="7"/>
  <c r="F54" i="7"/>
  <c r="E54" i="7"/>
  <c r="B35" i="7" a="1"/>
  <c r="B35" i="7" s="1"/>
  <c r="C35" i="7" s="1" a="1"/>
  <c r="C35" i="7" s="1"/>
  <c r="C36" i="7" a="1"/>
  <c r="C37" i="7" a="1"/>
  <c r="C37" i="7" s="1"/>
  <c r="C43" i="7" s="1"/>
  <c r="C38" i="7" a="1"/>
  <c r="C38" i="7" s="1"/>
  <c r="B39" i="7" a="1"/>
  <c r="B39" i="7" s="1"/>
  <c r="C39" i="7" s="1" a="1"/>
  <c r="C39" i="7" s="1"/>
  <c r="C40" i="7" a="1"/>
  <c r="C40" i="7" s="1"/>
  <c r="C41" i="7" a="1"/>
  <c r="C41" i="7" s="1"/>
  <c r="H43" i="7"/>
  <c r="G43" i="7"/>
  <c r="F43" i="7"/>
  <c r="E43" i="7"/>
  <c r="D43" i="7"/>
  <c r="C6" i="7" a="1"/>
  <c r="C6" i="7" s="1"/>
  <c r="C3" i="10" a="1"/>
  <c r="C3" i="10" s="1"/>
  <c r="B3" i="10" a="1"/>
  <c r="B3" i="10" s="1"/>
  <c r="B2" i="10" a="1"/>
  <c r="B2" i="10" s="1"/>
  <c r="B2" i="9" a="1"/>
  <c r="B2" i="9" s="1"/>
  <c r="C5" i="7" a="1"/>
  <c r="C5" i="7" s="1"/>
  <c r="C4" i="7" a="1"/>
  <c r="C4" i="7" s="1"/>
  <c r="B8" i="7"/>
  <c r="B9" i="7" a="1"/>
  <c r="B9" i="7" s="1"/>
  <c r="B13" i="7"/>
  <c r="B11" i="7" a="1"/>
  <c r="B11" i="7" s="1"/>
  <c r="K27" i="7" a="1"/>
  <c r="K27" i="7" s="1"/>
  <c r="J27" i="7" a="1"/>
  <c r="J27" i="7" s="1"/>
  <c r="B7" i="8" a="1"/>
  <c r="B7" i="8" s="1"/>
  <c r="C3" i="7" a="1"/>
  <c r="C3" i="7" s="1"/>
  <c r="F21" i="6" a="1"/>
  <c r="F21" i="6" s="1"/>
  <c r="E21" i="6" a="1"/>
  <c r="E21" i="6" s="1"/>
  <c r="D21" i="6" a="1"/>
  <c r="D21" i="6" s="1"/>
  <c r="C21" i="6" a="1"/>
  <c r="C21" i="6" s="1"/>
  <c r="F3" i="6" a="1"/>
  <c r="F3" i="6" s="1"/>
  <c r="E3" i="6" a="1"/>
  <c r="E3" i="6" s="1"/>
  <c r="D3" i="6" a="1"/>
  <c r="D3" i="6" s="1"/>
  <c r="C3" i="6" a="1"/>
  <c r="C3" i="6" s="1"/>
  <c r="C16" i="5" a="1"/>
  <c r="C16" i="5" s="1"/>
  <c r="C3" i="5" a="1"/>
  <c r="C3" i="5" s="1"/>
  <c r="F3" i="4" a="1"/>
  <c r="F3" i="4" s="1"/>
  <c r="C3" i="4" a="1"/>
  <c r="C3" i="4" s="1"/>
  <c r="B3" i="2" a="1"/>
  <c r="B3" i="2" s="1"/>
  <c r="D3" i="2" s="1" a="1"/>
  <c r="D3" i="2" s="1"/>
  <c r="E209" i="1" a="1"/>
  <c r="E209" i="1" s="1"/>
  <c r="C36" i="7" l="1"/>
  <c r="H3" i="5" a="1"/>
  <c r="H3" i="5" s="1"/>
  <c r="H16" i="5" a="1"/>
  <c r="H16" i="5" s="1"/>
  <c r="I6" i="7"/>
  <c r="I5" i="7"/>
  <c r="I4" i="7"/>
  <c r="E3" i="4" a="1"/>
  <c r="E3" i="4" s="1"/>
  <c r="D3" i="4" a="1"/>
  <c r="D3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<sst xmlns="http://schemas.openxmlformats.org/spreadsheetml/2006/main" count="1529" uniqueCount="997">
  <si>
    <t>Win_Pct</t>
  </si>
  <si>
    <t>Salary Cap</t>
  </si>
  <si>
    <t>Dead cap as percentage of maximum cap</t>
  </si>
  <si>
    <t>Cap space as percentage of maximum cap</t>
  </si>
  <si>
    <t>QB_Pct</t>
  </si>
  <si>
    <t>Quarterback spending as percentage of total cap</t>
  </si>
  <si>
    <t>RB_Pct</t>
  </si>
  <si>
    <t>Running back spending as percentage of total cap</t>
  </si>
  <si>
    <t>WR_Pct</t>
  </si>
  <si>
    <t>Wide receiver spending as percentage of total cap</t>
  </si>
  <si>
    <t>TE_Pct</t>
  </si>
  <si>
    <t>Tight end spending as percentage of total cap</t>
  </si>
  <si>
    <t>OL_Pct</t>
  </si>
  <si>
    <t>Offensive line spending as percentage of total cap</t>
  </si>
  <si>
    <t>DL_Pct</t>
  </si>
  <si>
    <t>Defensive line spending as percentage of total cap</t>
  </si>
  <si>
    <t>LB_Pct</t>
  </si>
  <si>
    <t>Linebacker spending as percentage of total cap</t>
  </si>
  <si>
    <t>SEC_Pct</t>
  </si>
  <si>
    <t>Secondary (CB/S) spending as percentage of total cap</t>
  </si>
  <si>
    <t>K_Pct</t>
  </si>
  <si>
    <t>Kicker spending as percentage of total cap</t>
  </si>
  <si>
    <t>P_Pct</t>
  </si>
  <si>
    <t>Punter spending as percentage of total cap</t>
  </si>
  <si>
    <t>LS_Pct</t>
  </si>
  <si>
    <t>Long snapper spending as percentage of total cap</t>
  </si>
  <si>
    <t>Off_Pct</t>
  </si>
  <si>
    <t>Total offensive spending as percentage of total cap</t>
  </si>
  <si>
    <t>Def_Pct</t>
  </si>
  <si>
    <t>Total defensive spending as percentage of total cap</t>
  </si>
  <si>
    <t>SPT_Pct</t>
  </si>
  <si>
    <t>Special teams spending as percentage of total cap</t>
  </si>
  <si>
    <t>Roster Turnover</t>
  </si>
  <si>
    <t>Percentage of QBs retained from previous year</t>
  </si>
  <si>
    <t>Percentage of QBs departed from previous year</t>
  </si>
  <si>
    <t>Percentage of new QBs on roster</t>
  </si>
  <si>
    <t>Percentage of RBs retained from previous year</t>
  </si>
  <si>
    <t>Percentage of RBs departed from previous year</t>
  </si>
  <si>
    <t>Percentage of new RBs on roster</t>
  </si>
  <si>
    <t>Percentage of WRs retained from previous year</t>
  </si>
  <si>
    <t>Percentage of WRs departed from previous year</t>
  </si>
  <si>
    <t>Percentage of new WRs on roster</t>
  </si>
  <si>
    <t>Percentage of TEs retained from previous year</t>
  </si>
  <si>
    <t>Percentage of TEs departed from previous year</t>
  </si>
  <si>
    <t>Percentage of new TEs on roster</t>
  </si>
  <si>
    <t>Percentage of offensive linemen retained</t>
  </si>
  <si>
    <t>Percentage of offensive linemen departed</t>
  </si>
  <si>
    <t>Percentage of defensive linemen retained</t>
  </si>
  <si>
    <t>Percentage of defensive linemen departed</t>
  </si>
  <si>
    <t>Percentage of linebackers retained</t>
  </si>
  <si>
    <t>Percentage of linebackers departed</t>
  </si>
  <si>
    <t>Percentage of cornerbacks retained</t>
  </si>
  <si>
    <t>Percentage of cornerbacks departed</t>
  </si>
  <si>
    <t>Percentage of safeties retained</t>
  </si>
  <si>
    <t>Percentage of safeties departed</t>
  </si>
  <si>
    <t>Starter Turnover</t>
  </si>
  <si>
    <t>Injury/Availability</t>
  </si>
  <si>
    <t>Average percentage of games missed by QBs</t>
  </si>
  <si>
    <t>Maximum percentage of games missed by a QB</t>
  </si>
  <si>
    <t>Minimum percentage of games missed by a QB</t>
  </si>
  <si>
    <t>Player Demographics</t>
  </si>
  <si>
    <t>Number of QBs on roster</t>
  </si>
  <si>
    <t>Average percentage of games missed by RBs</t>
  </si>
  <si>
    <t>Maximum percentage of games missed by a RB</t>
  </si>
  <si>
    <t>Minimum percentage of games missed by a RB</t>
  </si>
  <si>
    <t>Number of RBs on roster</t>
  </si>
  <si>
    <t>Average percentage of games missed by WRs</t>
  </si>
  <si>
    <t>Maximum percentage of games missed by a WR</t>
  </si>
  <si>
    <t>Minimum percentage of games missed by a WR</t>
  </si>
  <si>
    <t>Number of WRs on roster</t>
  </si>
  <si>
    <t>Average percentage of games missed by TEs</t>
  </si>
  <si>
    <t>Maximum percentage of games missed by a TE</t>
  </si>
  <si>
    <t>Minimum percentage of games missed by a TE</t>
  </si>
  <si>
    <t>Number of TEs on roster</t>
  </si>
  <si>
    <t>Average percentage of games missed by O-line</t>
  </si>
  <si>
    <t>Maximum percentage of games missed by O-line</t>
  </si>
  <si>
    <t>Minimum percentage of games missed by O-line</t>
  </si>
  <si>
    <t>Number of offensive linemen on roster</t>
  </si>
  <si>
    <t>Average percentage of games missed by D-line</t>
  </si>
  <si>
    <t>Maximum percentage of games missed by D-line</t>
  </si>
  <si>
    <t>Minimum percentage of games missed by D-line</t>
  </si>
  <si>
    <t>Number of defensive linemen on roster</t>
  </si>
  <si>
    <t>Average percentage of games missed by LBs</t>
  </si>
  <si>
    <t>Maximum percentage of games missed by a LB</t>
  </si>
  <si>
    <t>Minimum percentage of games missed by a LB</t>
  </si>
  <si>
    <t>Number of linebackers on roster</t>
  </si>
  <si>
    <t>Average percentage of games missed by CBs</t>
  </si>
  <si>
    <t>Maximum percentage of games missed by a CB</t>
  </si>
  <si>
    <t>Minimum percentage of games missed by a CB</t>
  </si>
  <si>
    <t>Number of cornerbacks on roster</t>
  </si>
  <si>
    <t>Average percentage of games missed by safeties</t>
  </si>
  <si>
    <t>Maximum percentage of games missed by a safety</t>
  </si>
  <si>
    <t>Minimum percentage of games missed by a safety</t>
  </si>
  <si>
    <t>Number of safeties on roster</t>
  </si>
  <si>
    <t>Penalty/Opponent</t>
  </si>
  <si>
    <t>SoS</t>
  </si>
  <si>
    <t>Strength of Schedule - average win percentage of opponents</t>
  </si>
  <si>
    <t>Draft Capital</t>
  </si>
  <si>
    <t>Coaching Experience</t>
  </si>
  <si>
    <t>Prior Team Performance (HC)</t>
  </si>
  <si>
    <t>Prior Team Performance (OC)</t>
  </si>
  <si>
    <t>Prior Team Performance (DC)</t>
  </si>
  <si>
    <t>Hyperparameter</t>
  </si>
  <si>
    <t xml:space="preserve">Value </t>
  </si>
  <si>
    <t>Objective</t>
  </si>
  <si>
    <t>reg:squarederror</t>
  </si>
  <si>
    <t>Random State</t>
  </si>
  <si>
    <t>Number of Estimators</t>
  </si>
  <si>
    <t>Learning Rate</t>
  </si>
  <si>
    <t>Max Estimator Depth</t>
  </si>
  <si>
    <t>Gamma</t>
  </si>
  <si>
    <t>Lambda</t>
  </si>
  <si>
    <t>Alpha</t>
  </si>
  <si>
    <t>Subsample</t>
  </si>
  <si>
    <t>Colsample by Tree</t>
  </si>
  <si>
    <t>Minimum Child Weight</t>
  </si>
  <si>
    <t>Feature No.</t>
  </si>
  <si>
    <t>Feature Name</t>
  </si>
  <si>
    <t>Feature Category</t>
  </si>
  <si>
    <t>Feature Description</t>
  </si>
  <si>
    <t>Team</t>
  </si>
  <si>
    <t>Metadata</t>
  </si>
  <si>
    <t>Team abbreviation</t>
  </si>
  <si>
    <t>Year</t>
  </si>
  <si>
    <t>Season year</t>
  </si>
  <si>
    <t>Total CapAllocations_Pct</t>
  </si>
  <si>
    <t>Total cap allocations as percentage of maximum cap</t>
  </si>
  <si>
    <t>Cap SpaceAll_Pct</t>
  </si>
  <si>
    <t>Active53-Man_Pct</t>
  </si>
  <si>
    <t>Active 53-man roster cap as percentage of maximum</t>
  </si>
  <si>
    <t>ReservesIR/PUP/NFI/SUSP_Pct</t>
  </si>
  <si>
    <t>Reserve/injured/suspended cap as percentage of maximum</t>
  </si>
  <si>
    <t>DeadCap_Pct</t>
  </si>
  <si>
    <t>QB_Players_Retained</t>
  </si>
  <si>
    <t>Number of QBs retained from previous year</t>
  </si>
  <si>
    <t>QB_Players_Departed</t>
  </si>
  <si>
    <t>Number of QBs departed from previous year</t>
  </si>
  <si>
    <t>QB_Players_New</t>
  </si>
  <si>
    <t>Number of new QBs added to roster</t>
  </si>
  <si>
    <t>QB_Retention_Rate_Pct</t>
  </si>
  <si>
    <t>QB_Departure_Rate_Pct</t>
  </si>
  <si>
    <t>QB_New_Player_Rate_Pct</t>
  </si>
  <si>
    <t>QB_Net_Change</t>
  </si>
  <si>
    <t>Net change in number of QBs</t>
  </si>
  <si>
    <t>RB_Players_Retained</t>
  </si>
  <si>
    <t>Number of RBs retained from previous year</t>
  </si>
  <si>
    <t>RB_Players_Departed</t>
  </si>
  <si>
    <t>Number of RBs departed from previous year</t>
  </si>
  <si>
    <t>RB_Players_New</t>
  </si>
  <si>
    <t>Number of new RBs added to roster</t>
  </si>
  <si>
    <t>RB_Retention_Rate_Pct</t>
  </si>
  <si>
    <t>RB_Departure_Rate_Pct</t>
  </si>
  <si>
    <t>RB_New_Player_Rate_Pct</t>
  </si>
  <si>
    <t>RB_Net_Change</t>
  </si>
  <si>
    <t>Net change in number of RBs</t>
  </si>
  <si>
    <t>WR_Players_Retained</t>
  </si>
  <si>
    <t>Number of WRs retained from previous year</t>
  </si>
  <si>
    <t>WR_Players_Departed</t>
  </si>
  <si>
    <t>Number of WRs departed from previous year</t>
  </si>
  <si>
    <t>WR_Players_New</t>
  </si>
  <si>
    <t>Number of new WRs added to roster</t>
  </si>
  <si>
    <t>WR_Retention_Rate_Pct</t>
  </si>
  <si>
    <t>WR_Departure_Rate_Pct</t>
  </si>
  <si>
    <t>WR_New_Player_Rate_Pct</t>
  </si>
  <si>
    <t>WR_Net_Change</t>
  </si>
  <si>
    <t>Net change in number of WRs</t>
  </si>
  <si>
    <t>TE_Players_Retained</t>
  </si>
  <si>
    <t>Number of TEs retained from previous year</t>
  </si>
  <si>
    <t>TE_Players_Departed</t>
  </si>
  <si>
    <t>Number of TEs departed from previous year</t>
  </si>
  <si>
    <t>TE_Players_New</t>
  </si>
  <si>
    <t>Number of new TEs added to roster</t>
  </si>
  <si>
    <t>TE_Retention_Rate_Pct</t>
  </si>
  <si>
    <t>TE_Departure_Rate_Pct</t>
  </si>
  <si>
    <t>TE_New_Player_Rate_Pct</t>
  </si>
  <si>
    <t>TE_Net_Change</t>
  </si>
  <si>
    <t>Net change in number of TEs</t>
  </si>
  <si>
    <t>OL_Players_Retained</t>
  </si>
  <si>
    <t>Number of offensive linemen retained</t>
  </si>
  <si>
    <t>OL_Players_Departed</t>
  </si>
  <si>
    <t>Number of offensive linemen departed</t>
  </si>
  <si>
    <t>OL_Players_New</t>
  </si>
  <si>
    <t>Number of new offensive linemen added</t>
  </si>
  <si>
    <t>OL_Retention_Rate_Pct</t>
  </si>
  <si>
    <t>OL_Departure_Rate_Pct</t>
  </si>
  <si>
    <t>OL_New_Player_Rate_Pct</t>
  </si>
  <si>
    <t>Percentage of new offensive linemen</t>
  </si>
  <si>
    <t>OL_Net_Change</t>
  </si>
  <si>
    <t>Net change in number of offensive linemen</t>
  </si>
  <si>
    <t>DL_Players_Retained</t>
  </si>
  <si>
    <t>Number of defensive linemen retained</t>
  </si>
  <si>
    <t>DL_Players_Departed</t>
  </si>
  <si>
    <t>Number of defensive linemen departed</t>
  </si>
  <si>
    <t>DL_Players_New</t>
  </si>
  <si>
    <t>Number of new defensive linemen added</t>
  </si>
  <si>
    <t>DL_Retention_Rate_Pct</t>
  </si>
  <si>
    <t>DL_Departure_Rate_Pct</t>
  </si>
  <si>
    <t>DL_New_Player_Rate_Pct</t>
  </si>
  <si>
    <t>Percentage of new defensive linemen</t>
  </si>
  <si>
    <t>DL_Net_Change</t>
  </si>
  <si>
    <t>Net change in number of defensive linemen</t>
  </si>
  <si>
    <t>LB_Players_Retained</t>
  </si>
  <si>
    <t>Number of linebackers retained</t>
  </si>
  <si>
    <t>LB_Players_Departed</t>
  </si>
  <si>
    <t>Number of linebackers departed</t>
  </si>
  <si>
    <t>LB_Players_New</t>
  </si>
  <si>
    <t>Number of new linebackers added</t>
  </si>
  <si>
    <t>LB_Retention_Rate_Pct</t>
  </si>
  <si>
    <t>LB_Departure_Rate_Pct</t>
  </si>
  <si>
    <t>LB_New_Player_Rate_Pct</t>
  </si>
  <si>
    <t>Percentage of new linebackers</t>
  </si>
  <si>
    <t>LB_Net_Change</t>
  </si>
  <si>
    <t>Net change in number of linebackers</t>
  </si>
  <si>
    <t>CB_Players_Retained</t>
  </si>
  <si>
    <t>Number of cornerbacks retained</t>
  </si>
  <si>
    <t>CB_Players_Departed</t>
  </si>
  <si>
    <t>Number of cornerbacks departed</t>
  </si>
  <si>
    <t>CB_Players_New</t>
  </si>
  <si>
    <t>Number of new cornerbacks added</t>
  </si>
  <si>
    <t>CB_Retention_Rate_Pct</t>
  </si>
  <si>
    <t>CB_Departure_Rate_Pct</t>
  </si>
  <si>
    <t>CB_New_Player_Rate_Pct</t>
  </si>
  <si>
    <t>Percentage of new cornerbacks</t>
  </si>
  <si>
    <t>CB_Net_Change</t>
  </si>
  <si>
    <t>Net change in number of cornerbacks</t>
  </si>
  <si>
    <t>S_Players_Retained</t>
  </si>
  <si>
    <t>Number of safeties retained</t>
  </si>
  <si>
    <t>S_Players_Departed</t>
  </si>
  <si>
    <t>Number of safeties departed</t>
  </si>
  <si>
    <t>S_Players_New</t>
  </si>
  <si>
    <t>Number of new safeties added</t>
  </si>
  <si>
    <t>S_Retention_Rate_Pct</t>
  </si>
  <si>
    <t>S_Departure_Rate_Pct</t>
  </si>
  <si>
    <t>S_New_Player_Rate_Pct</t>
  </si>
  <si>
    <t>Percentage of new safeties</t>
  </si>
  <si>
    <t>S_Net_Change</t>
  </si>
  <si>
    <t>Net change in number of safeties</t>
  </si>
  <si>
    <t>QB_Retention_Rate_Pct_crosstab</t>
  </si>
  <si>
    <t>QB_Departure_Rate_Pct_crosstab</t>
  </si>
  <si>
    <t>QB_New_Player_Rate_Pct_crosstab</t>
  </si>
  <si>
    <t>RB_Retention_Rate_Pct_crosstab</t>
  </si>
  <si>
    <t>RB_Departure_Rate_Pct_crosstab</t>
  </si>
  <si>
    <t>RB_New_Player_Rate_Pct_crosstab</t>
  </si>
  <si>
    <t>WR_Retention_Rate_Pct_crosstab</t>
  </si>
  <si>
    <t>WR_Departure_Rate_Pct_crosstab</t>
  </si>
  <si>
    <t>WR_New_Player_Rate_Pct_crosstab</t>
  </si>
  <si>
    <t>TE_Retention_Rate_Pct_crosstab</t>
  </si>
  <si>
    <t>TE_Departure_Rate_Pct_crosstab</t>
  </si>
  <si>
    <t>TE_New_Player_Rate_Pct_crosstab</t>
  </si>
  <si>
    <t>OL_Retention_Rate_Pct_crosstab</t>
  </si>
  <si>
    <t>OL_Departure_Rate_Pct_crosstab</t>
  </si>
  <si>
    <t>OL_New_Player_Rate_Pct_crosstab</t>
  </si>
  <si>
    <t>DL_Retention_Rate_Pct_crosstab</t>
  </si>
  <si>
    <t>DL_Departure_Rate_Pct_crosstab</t>
  </si>
  <si>
    <t>DL_New_Player_Rate_Pct_crosstab</t>
  </si>
  <si>
    <t>LB_Retention_Rate_Pct_crosstab</t>
  </si>
  <si>
    <t>LB_Departure_Rate_Pct_crosstab</t>
  </si>
  <si>
    <t>LB_New_Player_Rate_Pct_crosstab</t>
  </si>
  <si>
    <t>CB_Retention_Rate_Pct_crosstab</t>
  </si>
  <si>
    <t>CB_Departure_Rate_Pct_crosstab</t>
  </si>
  <si>
    <t>CB_New_Player_Rate_Pct_crosstab</t>
  </si>
  <si>
    <t>S_Retention_Rate_Pct_crosstab</t>
  </si>
  <si>
    <t>S_Departure_Rate_Pct_crosstab</t>
  </si>
  <si>
    <t>S_New_Player_Rate_Pct_crosstab</t>
  </si>
  <si>
    <t>Total_Games_In_Season</t>
  </si>
  <si>
    <t>Total games in NFL season (16 or 17)</t>
  </si>
  <si>
    <t>QB_Avg_Games_Missed_Pct</t>
  </si>
  <si>
    <t>QB_Max_Games_Missed_Pct</t>
  </si>
  <si>
    <t>QB_Min_Games_Missed_Pct</t>
  </si>
  <si>
    <t>QB_Players_Count</t>
  </si>
  <si>
    <t>RB_Avg_Games_Missed_Pct</t>
  </si>
  <si>
    <t>RB_Max_Games_Missed_Pct</t>
  </si>
  <si>
    <t>RB_Min_Games_Missed_Pct</t>
  </si>
  <si>
    <t>RB_Players_Count</t>
  </si>
  <si>
    <t>WR_Avg_Games_Missed_Pct</t>
  </si>
  <si>
    <t>WR_Max_Games_Missed_Pct</t>
  </si>
  <si>
    <t>WR_Min_Games_Missed_Pct</t>
  </si>
  <si>
    <t>WR_Players_Count</t>
  </si>
  <si>
    <t>TE_Avg_Games_Missed_Pct</t>
  </si>
  <si>
    <t>TE_Max_Games_Missed_Pct</t>
  </si>
  <si>
    <t>TE_Min_Games_Missed_Pct</t>
  </si>
  <si>
    <t>TE_Players_Count</t>
  </si>
  <si>
    <t>OL_Avg_Games_Missed_Pct</t>
  </si>
  <si>
    <t>OL_Max_Games_Missed_Pct</t>
  </si>
  <si>
    <t>OL_Min_Games_Missed_Pct</t>
  </si>
  <si>
    <t>OL_Players_Count</t>
  </si>
  <si>
    <t>DL_Avg_Games_Missed_Pct</t>
  </si>
  <si>
    <t>DL_Max_Games_Missed_Pct</t>
  </si>
  <si>
    <t>DL_Min_Games_Missed_Pct</t>
  </si>
  <si>
    <t>DL_Players_Count</t>
  </si>
  <si>
    <t>LB_Avg_Games_Missed_Pct</t>
  </si>
  <si>
    <t>LB_Max_Games_Missed_Pct</t>
  </si>
  <si>
    <t>LB_Min_Games_Missed_Pct</t>
  </si>
  <si>
    <t>LB_Players_Count</t>
  </si>
  <si>
    <t>CB_Avg_Games_Missed_Pct</t>
  </si>
  <si>
    <t>CB_Max_Games_Missed_Pct</t>
  </si>
  <si>
    <t>CB_Min_Games_Missed_Pct</t>
  </si>
  <si>
    <t>CB_Players_Count</t>
  </si>
  <si>
    <t>S_Avg_Games_Missed_Pct</t>
  </si>
  <si>
    <t>S_Max_Games_Missed_Pct</t>
  </si>
  <si>
    <t>S_Min_Games_Missed_Pct</t>
  </si>
  <si>
    <t>S_Players_Count</t>
  </si>
  <si>
    <t>Avg_Starter_Age</t>
  </si>
  <si>
    <t>Average age of all starters</t>
  </si>
  <si>
    <t>StdDev_Starter_Age</t>
  </si>
  <si>
    <t>Standard deviation of starter ages</t>
  </si>
  <si>
    <t>Avg_Starter_Experience</t>
  </si>
  <si>
    <t>Average experience of all starters</t>
  </si>
  <si>
    <t>StdDev_Starter_Experience</t>
  </si>
  <si>
    <t>Standard deviation of starter experience</t>
  </si>
  <si>
    <t>Avg_Roster_Age</t>
  </si>
  <si>
    <t>Average age of entire roster</t>
  </si>
  <si>
    <t>StdDev_Roster_Age</t>
  </si>
  <si>
    <t>Standard deviation of roster ages</t>
  </si>
  <si>
    <t>Avg_Roster_Experience</t>
  </si>
  <si>
    <t>Average experience of entire roster</t>
  </si>
  <si>
    <t>StdDev_Roster_Experience</t>
  </si>
  <si>
    <t>Standard deviation of roster experience</t>
  </si>
  <si>
    <t>Avg_Starter_Age_QB</t>
  </si>
  <si>
    <t>Average age of starting QBs</t>
  </si>
  <si>
    <t>Avg_Starter_Exp_QB</t>
  </si>
  <si>
    <t>Average experience of starting QBs</t>
  </si>
  <si>
    <t>Avg_Roster_Age_QB</t>
  </si>
  <si>
    <t>Average age of all QBs on roster</t>
  </si>
  <si>
    <t>Avg_Roster_Exp_QB</t>
  </si>
  <si>
    <t>Average experience of all QBs on roster</t>
  </si>
  <si>
    <t>Avg_Starter_Age_RB</t>
  </si>
  <si>
    <t>Average age of starting RBs</t>
  </si>
  <si>
    <t>Avg_Starter_Exp_RB</t>
  </si>
  <si>
    <t>Average experience of starting RBs</t>
  </si>
  <si>
    <t>Avg_Roster_Age_RB</t>
  </si>
  <si>
    <t>Average age of all RBs on roster</t>
  </si>
  <si>
    <t>Avg_Roster_Exp_RB</t>
  </si>
  <si>
    <t>Average experience of all RBs on roster</t>
  </si>
  <si>
    <t>Avg_Starter_Age_WR</t>
  </si>
  <si>
    <t>Average age of starting WRs</t>
  </si>
  <si>
    <t>Avg_Starter_Exp_WR</t>
  </si>
  <si>
    <t>Average experience of starting WRs</t>
  </si>
  <si>
    <t>Avg_Roster_Age_WR</t>
  </si>
  <si>
    <t>Average age of all WRs on roster</t>
  </si>
  <si>
    <t>Avg_Roster_Exp_WR</t>
  </si>
  <si>
    <t>Average experience of all WRs on roster</t>
  </si>
  <si>
    <t>Avg_Starter_Age_TE</t>
  </si>
  <si>
    <t>Average age of starting TEs</t>
  </si>
  <si>
    <t>Avg_Starter_Exp_TE</t>
  </si>
  <si>
    <t>Average experience of starting TEs</t>
  </si>
  <si>
    <t>Avg_Roster_Age_TE</t>
  </si>
  <si>
    <t>Average age of all TEs on roster</t>
  </si>
  <si>
    <t>Avg_Roster_Exp_TE</t>
  </si>
  <si>
    <t>Average experience of all TEs on roster</t>
  </si>
  <si>
    <t>Avg_Starter_Age_OL</t>
  </si>
  <si>
    <t>Average age of starting offensive linemen</t>
  </si>
  <si>
    <t>Avg_Starter_Exp_OL</t>
  </si>
  <si>
    <t>Average experience of starting offensive linemen</t>
  </si>
  <si>
    <t>Avg_Roster_Age_OL</t>
  </si>
  <si>
    <t>Average age of all offensive linemen</t>
  </si>
  <si>
    <t>Avg_Roster_Exp_OL</t>
  </si>
  <si>
    <t>Average experience of all offensive linemen</t>
  </si>
  <si>
    <t>Avg_Starter_Age_DL</t>
  </si>
  <si>
    <t>Average age of starting defensive linemen</t>
  </si>
  <si>
    <t>Avg_Starter_Exp_DL</t>
  </si>
  <si>
    <t>Average experience of starting defensive linemen</t>
  </si>
  <si>
    <t>Avg_Roster_Age_DL</t>
  </si>
  <si>
    <t>Average age of all defensive linemen</t>
  </si>
  <si>
    <t>Avg_Roster_Exp_DL</t>
  </si>
  <si>
    <t>Average experience of all defensive linemen</t>
  </si>
  <si>
    <t>Avg_Starter_Age_LB</t>
  </si>
  <si>
    <t>Average age of starting linebackers</t>
  </si>
  <si>
    <t>Avg_Starter_Exp_LB</t>
  </si>
  <si>
    <t>Average experience of starting linebackers</t>
  </si>
  <si>
    <t>Avg_Roster_Age_LB</t>
  </si>
  <si>
    <t>Average age of all linebackers</t>
  </si>
  <si>
    <t>Avg_Roster_Exp_LB</t>
  </si>
  <si>
    <t>Average experience of all linebackers</t>
  </si>
  <si>
    <t>Avg_Starter_Age_CB</t>
  </si>
  <si>
    <t>Average age of starting cornerbacks</t>
  </si>
  <si>
    <t>Avg_Starter_Exp_CB</t>
  </si>
  <si>
    <t>Average experience of starting cornerbacks</t>
  </si>
  <si>
    <t>Avg_Roster_Age_CB</t>
  </si>
  <si>
    <t>Average age of all cornerbacks</t>
  </si>
  <si>
    <t>Avg_Roster_Exp_CB</t>
  </si>
  <si>
    <t>Average experience of all cornerbacks</t>
  </si>
  <si>
    <t>Avg_Starter_Age_S</t>
  </si>
  <si>
    <t>Average age of starting safeties</t>
  </si>
  <si>
    <t>Avg_Starter_Exp_S</t>
  </si>
  <si>
    <t>Average experience of starting safeties</t>
  </si>
  <si>
    <t>Avg_Roster_Age_S</t>
  </si>
  <si>
    <t>Average age of all safeties</t>
  </si>
  <si>
    <t>Avg_Roster_Exp_S</t>
  </si>
  <si>
    <t>Average experience of all safeties</t>
  </si>
  <si>
    <t>Team_Int_Passing_Norm</t>
  </si>
  <si>
    <t>Normalized team interceptions thrown</t>
  </si>
  <si>
    <t>Team_Pen_Norm</t>
  </si>
  <si>
    <t>Normalized team penalties committed</t>
  </si>
  <si>
    <t>Team_Yds_Penalties_Norm</t>
  </si>
  <si>
    <t>Normalized team penalty yards</t>
  </si>
  <si>
    <t>Opp_Int_Passing_Norm</t>
  </si>
  <si>
    <t>Normalized opponent interceptions thrown</t>
  </si>
  <si>
    <t>Opp_Pen_Norm</t>
  </si>
  <si>
    <t>Normalized opponent penalties committed</t>
  </si>
  <si>
    <t>Opp_Yds_Penalties_Norm</t>
  </si>
  <si>
    <t>Normalized opponent penalty yards</t>
  </si>
  <si>
    <t>Current_Round_1_Picks</t>
  </si>
  <si>
    <t>Number of first round picks in current year</t>
  </si>
  <si>
    <t>Current_Round_2_Picks</t>
  </si>
  <si>
    <t>Number of second round picks in current year</t>
  </si>
  <si>
    <t>Current_Round_3_Picks</t>
  </si>
  <si>
    <t>Number of third round picks in current year</t>
  </si>
  <si>
    <t>Current_Round_4_Picks</t>
  </si>
  <si>
    <t>Number of fourth round picks in current year</t>
  </si>
  <si>
    <t>Current_Round_5_Picks</t>
  </si>
  <si>
    <t>Number of fifth round picks in current year</t>
  </si>
  <si>
    <t>Current_Round_6_Picks</t>
  </si>
  <si>
    <t>Number of sixth round picks in current year</t>
  </si>
  <si>
    <t>Current_Round_7Plus_Picks</t>
  </si>
  <si>
    <t>Number of seventh round or later picks in current year</t>
  </si>
  <si>
    <t>Prev_1Yr_Round_1_Picks</t>
  </si>
  <si>
    <t>Prev_1Yr_Round_2_Picks</t>
  </si>
  <si>
    <t>Prev_1Yr_Round_3_Picks</t>
  </si>
  <si>
    <t>Prev_1Yr_Round_4_Picks</t>
  </si>
  <si>
    <t>Prev_1Yr_Round_5_Picks</t>
  </si>
  <si>
    <t>Prev_1Yr_Round_6_Picks</t>
  </si>
  <si>
    <t>Prev_1Yr_Round_7Plus_Picks</t>
  </si>
  <si>
    <t>Prev_2Yr_Round_1_Picks</t>
  </si>
  <si>
    <t>Prev_2Yr_Round_2_Picks</t>
  </si>
  <si>
    <t>Prev_2Yr_Round_3_Picks</t>
  </si>
  <si>
    <t>Prev_2Yr_Round_4_Picks</t>
  </si>
  <si>
    <t>Prev_2Yr_Round_5_Picks</t>
  </si>
  <si>
    <t>Prev_2Yr_Round_6_Picks</t>
  </si>
  <si>
    <t>Prev_2Yr_Round_7Plus_Picks</t>
  </si>
  <si>
    <t>Prev_3Yr_Round_1_Picks</t>
  </si>
  <si>
    <t>Prev_3Yr_Round_2_Picks</t>
  </si>
  <si>
    <t>Prev_3Yr_Round_3_Picks</t>
  </si>
  <si>
    <t>Prev_3Yr_Round_4_Picks</t>
  </si>
  <si>
    <t>Prev_3Yr_Round_5_Picks</t>
  </si>
  <si>
    <t>Prev_3Yr_Round_6_Picks</t>
  </si>
  <si>
    <t>Prev_3Yr_Round_7Plus_Picks</t>
  </si>
  <si>
    <t>Prev_4Yr_Round_1_Picks</t>
  </si>
  <si>
    <t>num_times_hc</t>
  </si>
  <si>
    <t>Number of times as head coach</t>
  </si>
  <si>
    <t>num_yr_col_pos</t>
  </si>
  <si>
    <t>Years coaching college position groups</t>
  </si>
  <si>
    <t>num_yr_col_coor</t>
  </si>
  <si>
    <t>Years as college coordinator</t>
  </si>
  <si>
    <t>num_yr_col_hc</t>
  </si>
  <si>
    <t>Years as college head coach</t>
  </si>
  <si>
    <t>num_yr_nfl_pos</t>
  </si>
  <si>
    <t>Years coaching NFL position groups</t>
  </si>
  <si>
    <t>num_yr_nfl_coor</t>
  </si>
  <si>
    <t>Years as NFL coordinator</t>
  </si>
  <si>
    <t>num_yr_nfl_hc</t>
  </si>
  <si>
    <t>Years as NFL head coach</t>
  </si>
  <si>
    <t>PF (Points For)__oc_Norm</t>
  </si>
  <si>
    <t>Normalized points scored under OC</t>
  </si>
  <si>
    <t>Yds__oc_Norm</t>
  </si>
  <si>
    <t>Normalized offensive yards under OC</t>
  </si>
  <si>
    <t>Y/P__oc_Norm</t>
  </si>
  <si>
    <t>Normalized yards per play under OC</t>
  </si>
  <si>
    <t>TO__oc_Norm</t>
  </si>
  <si>
    <t>Normalized turnovers under OC</t>
  </si>
  <si>
    <t>1stD__oc_Norm</t>
  </si>
  <si>
    <t>Normalized first downs under OC</t>
  </si>
  <si>
    <t>Cmp Passing__oc_Norm</t>
  </si>
  <si>
    <t>Normalized pass completions under OC</t>
  </si>
  <si>
    <t>Att Passing__oc_Norm</t>
  </si>
  <si>
    <t>Normalized pass attempts under OC</t>
  </si>
  <si>
    <t>Yds Passing__oc_Norm</t>
  </si>
  <si>
    <t>Normalized passing yards under OC</t>
  </si>
  <si>
    <t>TD Passing__oc_Norm</t>
  </si>
  <si>
    <t>Normalized passing touchdowns under OC</t>
  </si>
  <si>
    <t>Int Passing__oc_Norm</t>
  </si>
  <si>
    <t>Normalized interceptions thrown under OC</t>
  </si>
  <si>
    <t>NY/A Passing__oc_Norm</t>
  </si>
  <si>
    <t>Normalized net yards per pass attempt under OC</t>
  </si>
  <si>
    <t>1stD Passing__oc_Norm</t>
  </si>
  <si>
    <t>Normalized passing first downs under OC</t>
  </si>
  <si>
    <t>Att Rushing__oc_Norm</t>
  </si>
  <si>
    <t>Normalized rush attempts under OC</t>
  </si>
  <si>
    <t>Yds Rushing__oc_Norm</t>
  </si>
  <si>
    <t>Normalized rushing yards under OC</t>
  </si>
  <si>
    <t>TD Rushing__oc_Norm</t>
  </si>
  <si>
    <t>Normalized rushing touchdowns under OC</t>
  </si>
  <si>
    <t>Y/A Rushing__oc_Norm</t>
  </si>
  <si>
    <t>Normalized yards per rush under OC</t>
  </si>
  <si>
    <t>1stD Rushing__oc_Norm</t>
  </si>
  <si>
    <t>Normalized rushing first downs under OC</t>
  </si>
  <si>
    <t>Pen__oc_Norm</t>
  </si>
  <si>
    <t>Normalized penalties under OC</t>
  </si>
  <si>
    <t>Yds Penalties__oc_Norm</t>
  </si>
  <si>
    <t>Normalized penalty yards under OC</t>
  </si>
  <si>
    <t>1stPy__oc_Norm</t>
  </si>
  <si>
    <t>Normalized first downs by penalty under OC</t>
  </si>
  <si>
    <t>#Dr__oc_Norm</t>
  </si>
  <si>
    <t>Normalized number of drives under OC</t>
  </si>
  <si>
    <t>Sc%__oc_Norm</t>
  </si>
  <si>
    <t>Normalized scoring percentage under OC</t>
  </si>
  <si>
    <t>TO%__oc_Norm</t>
  </si>
  <si>
    <t>Normalized turnover percentage under OC</t>
  </si>
  <si>
    <t>Time Average Drive__oc_Norm</t>
  </si>
  <si>
    <t>Normalized average drive time under OC</t>
  </si>
  <si>
    <t>Plays Average Drive__oc_Norm</t>
  </si>
  <si>
    <t>Normalized average plays per drive under OC</t>
  </si>
  <si>
    <t>Yds Average Drive__oc_Norm</t>
  </si>
  <si>
    <t>Normalized average yards per drive under OC</t>
  </si>
  <si>
    <t>Pts Average Drive__oc_Norm</t>
  </si>
  <si>
    <t>Normalized average points per drive under OC</t>
  </si>
  <si>
    <t>3DAtt__oc_Norm</t>
  </si>
  <si>
    <t>Normalized third down attempts under OC</t>
  </si>
  <si>
    <t>3D%__oc_Norm</t>
  </si>
  <si>
    <t>Normalized third down conversion rate under OC</t>
  </si>
  <si>
    <t>4DAtt__oc_Norm</t>
  </si>
  <si>
    <t>Normalized fourth down attempts under OC</t>
  </si>
  <si>
    <t>4D%__oc_Norm</t>
  </si>
  <si>
    <t>Normalized fourth down conversion rate under OC</t>
  </si>
  <si>
    <t>RZAtt__oc_Norm</t>
  </si>
  <si>
    <t>Normalized red zone attempts under OC</t>
  </si>
  <si>
    <t>RZPct__oc_Norm</t>
  </si>
  <si>
    <t>Normalized red zone scoring percentage under OC</t>
  </si>
  <si>
    <t>PF (Points For)__dc_Norm</t>
  </si>
  <si>
    <t>Normalized points allowed under DC</t>
  </si>
  <si>
    <t>Yds__dc_Norm</t>
  </si>
  <si>
    <t>Normalized yards allowed under DC</t>
  </si>
  <si>
    <t>Y/P__dc_Norm</t>
  </si>
  <si>
    <t>Normalized yards per play allowed under DC</t>
  </si>
  <si>
    <t>TO__dc_Norm</t>
  </si>
  <si>
    <t>Normalized takeaways under DC</t>
  </si>
  <si>
    <t>1stD__dc_Norm</t>
  </si>
  <si>
    <t>Normalized first downs allowed under DC</t>
  </si>
  <si>
    <t>Cmp Passing__dc_Norm</t>
  </si>
  <si>
    <t>Normalized pass completions allowed under DC</t>
  </si>
  <si>
    <t>Att Passing__dc_Norm</t>
  </si>
  <si>
    <t>Normalized pass attempts faced under DC</t>
  </si>
  <si>
    <t>Yds Passing__dc_Norm</t>
  </si>
  <si>
    <t>Normalized passing yards allowed under DC</t>
  </si>
  <si>
    <t>TD Passing__dc_Norm</t>
  </si>
  <si>
    <t>Normalized passing touchdowns allowed under DC</t>
  </si>
  <si>
    <t>Int Passing__dc_Norm</t>
  </si>
  <si>
    <t>Normalized interceptions by defense under DC</t>
  </si>
  <si>
    <t>NY/A Passing__dc_Norm</t>
  </si>
  <si>
    <t>Normalized net yards per pass allowed under DC</t>
  </si>
  <si>
    <t>1stD Passing__dc_Norm</t>
  </si>
  <si>
    <t>Normalized passing first downs allowed under DC</t>
  </si>
  <si>
    <t>Att Rushing__dc_Norm</t>
  </si>
  <si>
    <t>Normalized rush attempts faced under DC</t>
  </si>
  <si>
    <t>Yds Rushing__dc_Norm</t>
  </si>
  <si>
    <t>Normalized rushing yards allowed under DC</t>
  </si>
  <si>
    <t>TD Rushing__dc_Norm</t>
  </si>
  <si>
    <t>Normalized rushing touchdowns allowed under DC</t>
  </si>
  <si>
    <t>Y/A Rushing__dc_Norm</t>
  </si>
  <si>
    <t>Normalized yards per rush allowed under DC</t>
  </si>
  <si>
    <t>1stD Rushing__dc_Norm</t>
  </si>
  <si>
    <t>Normalized rushing first downs allowed under DC</t>
  </si>
  <si>
    <t>Pen__dc_Norm</t>
  </si>
  <si>
    <t>Normalized opponent penalties under DC</t>
  </si>
  <si>
    <t>Yds Penalties__dc_Norm</t>
  </si>
  <si>
    <t>Normalized opponent penalty yards under DC</t>
  </si>
  <si>
    <t>1stPy__dc_Norm</t>
  </si>
  <si>
    <t>Normalized opponent first downs by penalty under DC</t>
  </si>
  <si>
    <t>#Dr__dc_Norm</t>
  </si>
  <si>
    <t>Normalized opponent drives under DC</t>
  </si>
  <si>
    <t>Sc%__dc_Norm</t>
  </si>
  <si>
    <t>Normalized opponent scoring percentage under DC</t>
  </si>
  <si>
    <t>TO%__dc_Norm</t>
  </si>
  <si>
    <t>Normalized opponent turnover percentage under DC</t>
  </si>
  <si>
    <t>Time Average Drive__dc_Norm</t>
  </si>
  <si>
    <t>Normalized opponent average drive time under DC</t>
  </si>
  <si>
    <t>Plays Average Drive__dc_Norm</t>
  </si>
  <si>
    <t>Normalized opponent average plays per drive under DC</t>
  </si>
  <si>
    <t>Yds Average Drive__dc_Norm</t>
  </si>
  <si>
    <t>Normalized opponent average yards per drive under DC</t>
  </si>
  <si>
    <t>Pts Average Drive__dc_Norm</t>
  </si>
  <si>
    <t>Normalized opponent average points per drive under DC</t>
  </si>
  <si>
    <t>3DAtt__dc_Norm</t>
  </si>
  <si>
    <t>Normalized opponent third down attempts under DC</t>
  </si>
  <si>
    <t>3D%__dc_Norm</t>
  </si>
  <si>
    <t>Normalized opponent third down conversion rate under DC</t>
  </si>
  <si>
    <t>4DAtt__dc_Norm</t>
  </si>
  <si>
    <t>Normalized opponent fourth down attempts under DC</t>
  </si>
  <si>
    <t>4D%__dc_Norm</t>
  </si>
  <si>
    <t>Normalized opponent fourth down conversion rate under DC</t>
  </si>
  <si>
    <t>RZAtt__dc_Norm</t>
  </si>
  <si>
    <t>Normalized opponent red zone attempts under DC</t>
  </si>
  <si>
    <t>RZPct__dc_Norm</t>
  </si>
  <si>
    <t>Normalized opponent red zone scoring percentage under DC</t>
  </si>
  <si>
    <t>PF (Points For)__hc_Norm</t>
  </si>
  <si>
    <t>Normalized points scored under HC</t>
  </si>
  <si>
    <t>Yds__hc_Norm</t>
  </si>
  <si>
    <t>Normalized offensive yards under HC</t>
  </si>
  <si>
    <t>Y/P__hc_Norm</t>
  </si>
  <si>
    <t>Normalized yards per play under HC</t>
  </si>
  <si>
    <t>TO__hc_Norm</t>
  </si>
  <si>
    <t>Normalized turnovers under HC</t>
  </si>
  <si>
    <t>1stD__hc_Norm</t>
  </si>
  <si>
    <t>Normalized first downs under HC</t>
  </si>
  <si>
    <t>Cmp Passing__hc_Norm</t>
  </si>
  <si>
    <t>Normalized pass completions under HC</t>
  </si>
  <si>
    <t>Att Passing__hc_Norm</t>
  </si>
  <si>
    <t>Normalized pass attempts under HC</t>
  </si>
  <si>
    <t>Yds Passing__hc_Norm</t>
  </si>
  <si>
    <t>Normalized passing yards under HC</t>
  </si>
  <si>
    <t>TD Passing__hc_Norm</t>
  </si>
  <si>
    <t>Normalized passing touchdowns under HC</t>
  </si>
  <si>
    <t>Int Passing__hc_Norm</t>
  </si>
  <si>
    <t>Normalized interceptions thrown under HC</t>
  </si>
  <si>
    <t>NY/A Passing__hc_Norm</t>
  </si>
  <si>
    <t>Normalized net yards per pass attempt under HC</t>
  </si>
  <si>
    <t>1stD Passing__hc_Norm</t>
  </si>
  <si>
    <t>Normalized passing first downs under HC</t>
  </si>
  <si>
    <t>Att Rushing__hc_Norm</t>
  </si>
  <si>
    <t>Normalized rush attempts under HC</t>
  </si>
  <si>
    <t>Yds Rushing__hc_Norm</t>
  </si>
  <si>
    <t>Normalized rushing yards under HC</t>
  </si>
  <si>
    <t>TD Rushing__hc_Norm</t>
  </si>
  <si>
    <t>Normalized rushing touchdowns under HC</t>
  </si>
  <si>
    <t>Y/A Rushing__hc_Norm</t>
  </si>
  <si>
    <t>Normalized yards per rush under HC</t>
  </si>
  <si>
    <t>1stD Rushing__hc_Norm</t>
  </si>
  <si>
    <t>Normalized rushing first downs under HC</t>
  </si>
  <si>
    <t>Pen__hc_Norm</t>
  </si>
  <si>
    <t>Normalized penalties under HC</t>
  </si>
  <si>
    <t>Yds Penalties__hc_Norm</t>
  </si>
  <si>
    <t>Normalized penalty yards under HC</t>
  </si>
  <si>
    <t>1stPy__hc_Norm</t>
  </si>
  <si>
    <t>Normalized first downs by penalty under HC</t>
  </si>
  <si>
    <t>#Dr__hc_Norm</t>
  </si>
  <si>
    <t>Normalized number of drives under HC</t>
  </si>
  <si>
    <t>Sc%__hc_Norm</t>
  </si>
  <si>
    <t>Normalized scoring percentage under HC</t>
  </si>
  <si>
    <t>TO%__hc_Norm</t>
  </si>
  <si>
    <t>Normalized turnover percentage under HC</t>
  </si>
  <si>
    <t>Time Average Drive__hc_Norm</t>
  </si>
  <si>
    <t>Normalized average drive time under HC</t>
  </si>
  <si>
    <t>Plays Average Drive__hc_Norm</t>
  </si>
  <si>
    <t>Normalized average plays per drive under HC</t>
  </si>
  <si>
    <t>Yds Average Drive__hc_Norm</t>
  </si>
  <si>
    <t>Normalized average yards per drive under HC</t>
  </si>
  <si>
    <t>Pts Average Drive__hc_Norm</t>
  </si>
  <si>
    <t>Normalized average points per drive under HC</t>
  </si>
  <si>
    <t>3DAtt__hc_Norm</t>
  </si>
  <si>
    <t>Normalized third down attempts under HC</t>
  </si>
  <si>
    <t>3D%__hc_Norm</t>
  </si>
  <si>
    <t>Normalized third down conversion rate under HC</t>
  </si>
  <si>
    <t>4DAtt__hc_Norm</t>
  </si>
  <si>
    <t>Normalized fourth down attempts under HC</t>
  </si>
  <si>
    <t>4D%__hc_Norm</t>
  </si>
  <si>
    <t>Normalized fourth down conversion rate under HC</t>
  </si>
  <si>
    <t>RZAtt__hc_Norm</t>
  </si>
  <si>
    <t>Normalized red zone attempts under HC</t>
  </si>
  <si>
    <t>RZPct__hc_Norm</t>
  </si>
  <si>
    <t>Normalized red zone scoring percentage under HC</t>
  </si>
  <si>
    <t>PF (Points For)__opp__hc_Norm</t>
  </si>
  <si>
    <t>Normalized points allowed under HC</t>
  </si>
  <si>
    <t>Yds__opp__hc_Norm</t>
  </si>
  <si>
    <t>Normalized yards allowed under HC</t>
  </si>
  <si>
    <t>Y/P__opp__hc_Norm</t>
  </si>
  <si>
    <t>Normalized yards per play allowed under HC</t>
  </si>
  <si>
    <t>TO__opp__hc_Norm</t>
  </si>
  <si>
    <t>Normalized takeaways under HC</t>
  </si>
  <si>
    <t>1stD__opp__hc_Norm</t>
  </si>
  <si>
    <t>Normalized first downs allowed under HC</t>
  </si>
  <si>
    <t>Cmp Passing__opp__hc_Norm</t>
  </si>
  <si>
    <t>Normalized pass completions allowed under HC</t>
  </si>
  <si>
    <t>Att Passing__opp__hc_Norm</t>
  </si>
  <si>
    <t>Normalized pass attempts faced under HC</t>
  </si>
  <si>
    <t>Yds Passing__opp__hc_Norm</t>
  </si>
  <si>
    <t>Normalized passing yards allowed under HC</t>
  </si>
  <si>
    <t>TD Passing__opp__hc_Norm</t>
  </si>
  <si>
    <t>Normalized passing touchdowns allowed under HC</t>
  </si>
  <si>
    <t>Int Passing__opp__hc_Norm</t>
  </si>
  <si>
    <t>Normalized interceptions by defense under HC</t>
  </si>
  <si>
    <t>NY/A Passing__opp__hc_Norm</t>
  </si>
  <si>
    <t>Normalized net yards per pass allowed under HC</t>
  </si>
  <si>
    <t>1stD Passing__opp__hc_Norm</t>
  </si>
  <si>
    <t>Normalized passing first downs allowed under HC</t>
  </si>
  <si>
    <t>Att Rushing__opp__hc_Norm</t>
  </si>
  <si>
    <t>Normalized rush attempts faced under HC</t>
  </si>
  <si>
    <t>Yds Rushing__opp__hc_Norm</t>
  </si>
  <si>
    <t>Normalized rushing yards allowed under HC</t>
  </si>
  <si>
    <t>TD Rushing__opp__hc_Norm</t>
  </si>
  <si>
    <t>Normalized rushing touchdowns allowed under HC</t>
  </si>
  <si>
    <t>Y/A Rushing__opp__hc_Norm</t>
  </si>
  <si>
    <t>Normalized yards per rush allowed under HC</t>
  </si>
  <si>
    <t>1stD Rushing__opp__hc_Norm</t>
  </si>
  <si>
    <t>Normalized rushing first downs allowed under HC</t>
  </si>
  <si>
    <t>Pen__opp__hc_Norm</t>
  </si>
  <si>
    <t>Normalized opponent penalties under HC</t>
  </si>
  <si>
    <t>Yds Penalties__opp__hc_Norm</t>
  </si>
  <si>
    <t>Normalized opponent penalty yards under HC</t>
  </si>
  <si>
    <t>1stPy__opp__hc_Norm</t>
  </si>
  <si>
    <t>Normalized opponent first downs by penalty under HC</t>
  </si>
  <si>
    <t>#Dr__opp__hc_Norm</t>
  </si>
  <si>
    <t>Normalized opponent drives under HC</t>
  </si>
  <si>
    <t>Sc%__opp__hc_Norm</t>
  </si>
  <si>
    <t>Normalized opponent scoring percentage under HC</t>
  </si>
  <si>
    <t>TO%__opp__hc_Norm</t>
  </si>
  <si>
    <t>Normalized opponent turnover percentage under HC</t>
  </si>
  <si>
    <t>Time Average Drive__opp__hc_Norm</t>
  </si>
  <si>
    <t>Normalized opponent average drive time under HC</t>
  </si>
  <si>
    <t>Plays Average Drive__opp__hc_Norm</t>
  </si>
  <si>
    <t>Normalized opponent average plays per drive under HC</t>
  </si>
  <si>
    <t>Yds Average Drive__opp__hc_Norm</t>
  </si>
  <si>
    <t>Normalized opponent average yards per drive under HC</t>
  </si>
  <si>
    <t>Pts Average Drive__opp__hc_Norm</t>
  </si>
  <si>
    <t>Normalized opponent average points per drive under HC</t>
  </si>
  <si>
    <t>3DAtt__opp__hc_Norm</t>
  </si>
  <si>
    <t>Normalized opponent third down attempts under HC</t>
  </si>
  <si>
    <t>3D%__opp__hc_Norm</t>
  </si>
  <si>
    <t>Normalized opponent third down conversion rate under HC</t>
  </si>
  <si>
    <t>4DAtt__opp__hc_Norm</t>
  </si>
  <si>
    <t>Normalized opponent fourth down attempts under HC</t>
  </si>
  <si>
    <t>4D%__opp__hc_Norm</t>
  </si>
  <si>
    <t>Normalized opponent fourth down conversion rate under HC</t>
  </si>
  <si>
    <t>RZAtt__opp__hc_Norm</t>
  </si>
  <si>
    <t>Normalized opponent red zone attempts under HC</t>
  </si>
  <si>
    <t>RZPct__opp__hc_Norm</t>
  </si>
  <si>
    <t>Normalized opponent red zone scoring percentage under HC</t>
  </si>
  <si>
    <t>Number of first round picks over past 2 years</t>
  </si>
  <si>
    <t>Number of second round picks over past 2 years</t>
  </si>
  <si>
    <t>Number of third round picks over past 2 years</t>
  </si>
  <si>
    <t>Number of fourth round picks over past 2 years</t>
  </si>
  <si>
    <t>Number of fifth round picks over past 2 years</t>
  </si>
  <si>
    <t>Number of sixth round picks over past 2 years</t>
  </si>
  <si>
    <t>Number of seventh+ round picks over past 2 years</t>
  </si>
  <si>
    <t>Number of first round picks over past 3 years</t>
  </si>
  <si>
    <t>Number of second round picks over past 3 years</t>
  </si>
  <si>
    <t>Number of third round picks over past 3 years</t>
  </si>
  <si>
    <t>Number of fourth round picks over past 3 years</t>
  </si>
  <si>
    <t>Number of fifth round picks over past 3 years</t>
  </si>
  <si>
    <t>Number of sixth round picks over past 3 years</t>
  </si>
  <si>
    <t>Number of seventh+ round picks over past 3 years</t>
  </si>
  <si>
    <t>Number of first round picks over past 4 years</t>
  </si>
  <si>
    <t>Number of Features</t>
  </si>
  <si>
    <t>Coach Feature?</t>
  </si>
  <si>
    <t>Yes</t>
  </si>
  <si>
    <t>Target Variable</t>
  </si>
  <si>
    <t>Starting QB retention rate</t>
  </si>
  <si>
    <t>Starting QB departure rate</t>
  </si>
  <si>
    <t>Starting QB new player rate</t>
  </si>
  <si>
    <t>Starting RB retention rate</t>
  </si>
  <si>
    <t>Starting RB departure rate</t>
  </si>
  <si>
    <t>Starting RB new player rate</t>
  </si>
  <si>
    <t>Starting WR retention rate</t>
  </si>
  <si>
    <t>Starting WR departure rate</t>
  </si>
  <si>
    <t>Starting WR new player rate</t>
  </si>
  <si>
    <t>Starting TE retention rate</t>
  </si>
  <si>
    <t>Starting TE departure rate</t>
  </si>
  <si>
    <t>Starting TE new player rate</t>
  </si>
  <si>
    <t>Starting OL retention rate</t>
  </si>
  <si>
    <t>Starting OL departure rate</t>
  </si>
  <si>
    <t>Starting OL new player rate</t>
  </si>
  <si>
    <t>Starting DL retention rate</t>
  </si>
  <si>
    <t>Starting DL departure rate</t>
  </si>
  <si>
    <t>Starting DL new player rate</t>
  </si>
  <si>
    <t>Starting LB retention rate</t>
  </si>
  <si>
    <t>Starting LB departure rate</t>
  </si>
  <si>
    <t>Starting LB new player rate</t>
  </si>
  <si>
    <t>Starting CB retention rate</t>
  </si>
  <si>
    <t>Starting CB departure rate</t>
  </si>
  <si>
    <t>Starting CB new player rate</t>
  </si>
  <si>
    <t>Starting S retention rate</t>
  </si>
  <si>
    <t>Starting S departure rate</t>
  </si>
  <si>
    <t>Starting S new player rate</t>
  </si>
  <si>
    <t>Season winning percentage</t>
  </si>
  <si>
    <t>Rank</t>
  </si>
  <si>
    <t>Feature</t>
  </si>
  <si>
    <t>Importance</t>
  </si>
  <si>
    <t>Coach Feature</t>
  </si>
  <si>
    <t>Coach</t>
  </si>
  <si>
    <t>Actual</t>
  </si>
  <si>
    <t>Replacement</t>
  </si>
  <si>
    <t>WAR</t>
  </si>
  <si>
    <t>Pred Impact</t>
  </si>
  <si>
    <t>-------</t>
  </si>
  <si>
    <t>-----</t>
  </si>
  <si>
    <t>----------------------------</t>
  </si>
  <si>
    <t>---------</t>
  </si>
  <si>
    <t>-------------</t>
  </si>
  <si>
    <t>------</t>
  </si>
  <si>
    <t>-----------------</t>
  </si>
  <si>
    <t>CLT</t>
  </si>
  <si>
    <t>Jim Caldwell</t>
  </si>
  <si>
    <t>CHI</t>
  </si>
  <si>
    <t>Mike Ditka</t>
  </si>
  <si>
    <t>WAS</t>
  </si>
  <si>
    <t>Joe Gibbs</t>
  </si>
  <si>
    <t>NOR</t>
  </si>
  <si>
    <t>Sean Payton</t>
  </si>
  <si>
    <t>RAI</t>
  </si>
  <si>
    <t>Tom Flores</t>
  </si>
  <si>
    <t>Actual Win Pct</t>
  </si>
  <si>
    <t>Replacement Win Pct</t>
  </si>
  <si>
    <t>Avg WAR</t>
  </si>
  <si>
    <t>Seasons</t>
  </si>
  <si>
    <t>Total WAR</t>
  </si>
  <si>
    <t>Avg Win%</t>
  </si>
  <si>
    <t>------------</t>
  </si>
  <si>
    <t>Kevin O'Connell</t>
  </si>
  <si>
    <t>Bruce Arians</t>
  </si>
  <si>
    <t>Mike McDaniel</t>
  </si>
  <si>
    <t>John Madden</t>
  </si>
  <si>
    <t>Chuck Pagano</t>
  </si>
  <si>
    <t>Don Shula</t>
  </si>
  <si>
    <t>Kevin Stefanski</t>
  </si>
  <si>
    <t>Raymond Berry</t>
  </si>
  <si>
    <t>Tom Landry</t>
  </si>
  <si>
    <t>Avg. Yearly WAR</t>
  </si>
  <si>
    <t>---------------------------------------------------</t>
  </si>
  <si>
    <t>----------</t>
  </si>
  <si>
    <t>DET</t>
  </si>
  <si>
    <t>Ron Meyer</t>
  </si>
  <si>
    <t>Rod Marinelli</t>
  </si>
  <si>
    <t>Matt Eberflus</t>
  </si>
  <si>
    <t>Dan Campbell</t>
  </si>
  <si>
    <t>Steve Spagnuolo</t>
  </si>
  <si>
    <t>Bill Belichick</t>
  </si>
  <si>
    <t>SFO</t>
  </si>
  <si>
    <t>Bill Walsh</t>
  </si>
  <si>
    <t>SEA</t>
  </si>
  <si>
    <t>Jack Patera</t>
  </si>
  <si>
    <t>ATL</t>
  </si>
  <si>
    <t>Dan Quinn</t>
  </si>
  <si>
    <t>Mike Martz</t>
  </si>
  <si>
    <t>Kyle Shanahan</t>
  </si>
  <si>
    <t>John Ralston</t>
  </si>
  <si>
    <t>Red Miller</t>
  </si>
  <si>
    <t>Number of Seasons</t>
  </si>
  <si>
    <t>Kay Stephenson</t>
  </si>
  <si>
    <t>Abe Gibron</t>
  </si>
  <si>
    <t>Bruce Coslet</t>
  </si>
  <si>
    <t>Paul Wiggin</t>
  </si>
  <si>
    <t>June Jones</t>
  </si>
  <si>
    <t>Scott Linehan</t>
  </si>
  <si>
    <t>J.D. Roberts</t>
  </si>
  <si>
    <t>Pat Shurmur</t>
  </si>
  <si>
    <t>Background</t>
  </si>
  <si>
    <t>Decade</t>
  </si>
  <si>
    <t>Defensive</t>
  </si>
  <si>
    <t>Offensive</t>
  </si>
  <si>
    <t>Other</t>
  </si>
  <si>
    <t>1970s</t>
  </si>
  <si>
    <t>1980s</t>
  </si>
  <si>
    <t>1990s</t>
  </si>
  <si>
    <t>2000s</t>
  </si>
  <si>
    <t>2010s</t>
  </si>
  <si>
    <t>2020s</t>
  </si>
  <si>
    <t>Delta, 2020's vs. 1970s</t>
  </si>
  <si>
    <t xml:space="preserve"> </t>
  </si>
  <si>
    <t xml:space="preserve">  </t>
  </si>
  <si>
    <t>----------------</t>
  </si>
  <si>
    <t>--------------------</t>
  </si>
  <si>
    <t>Difference</t>
  </si>
  <si>
    <t xml:space="preserve"> Mann-Whitney U test Value</t>
  </si>
  <si>
    <t xml:space="preserve"> Decade </t>
  </si>
  <si>
    <t xml:space="preserve"> Sample Sizes (O/D)           </t>
  </si>
  <si>
    <t xml:space="preserve"> Mean WAR (O/D)  </t>
  </si>
  <si>
    <t xml:space="preserve"> Mann-Whitney U   </t>
  </si>
  <si>
    <t xml:space="preserve"> Cohen's d </t>
  </si>
  <si>
    <t xml:space="preserve"> Significance </t>
  </si>
  <si>
    <t>--------</t>
  </si>
  <si>
    <t>------------------------------</t>
  </si>
  <si>
    <t>------------------</t>
  </si>
  <si>
    <t>-----------</t>
  </si>
  <si>
    <t>--------------</t>
  </si>
  <si>
    <t xml:space="preserve">        </t>
  </si>
  <si>
    <t xml:space="preserve"> Coaches / Seasons            </t>
  </si>
  <si>
    <t xml:space="preserve"> games/season    </t>
  </si>
  <si>
    <t xml:space="preserve"> O - D      </t>
  </si>
  <si>
    <t xml:space="preserve"> U-stat / p-value </t>
  </si>
  <si>
    <t xml:space="preserve">           </t>
  </si>
  <si>
    <t xml:space="preserve">              </t>
  </si>
  <si>
    <t xml:space="preserve"> 1970s  </t>
  </si>
  <si>
    <t xml:space="preserve"> -0.355 / +0.573 </t>
  </si>
  <si>
    <t xml:space="preserve"> 3290p = 0.0001   </t>
  </si>
  <si>
    <t xml:space="preserve"> **           </t>
  </si>
  <si>
    <t xml:space="preserve"> 1980s  </t>
  </si>
  <si>
    <t xml:space="preserve"> +0.421 / +0.456 </t>
  </si>
  <si>
    <t xml:space="preserve"> 5389p = 0.555    </t>
  </si>
  <si>
    <t xml:space="preserve"> -            </t>
  </si>
  <si>
    <t xml:space="preserve"> 1990s  </t>
  </si>
  <si>
    <t xml:space="preserve"> -0.140 / +0.193 </t>
  </si>
  <si>
    <t xml:space="preserve"> 7553p = 0.211    </t>
  </si>
  <si>
    <t xml:space="preserve"> 2000s  </t>
  </si>
  <si>
    <t xml:space="preserve"> +0.139 / +0.076 </t>
  </si>
  <si>
    <t xml:space="preserve"> 10275p = 0.763   </t>
  </si>
  <si>
    <t xml:space="preserve"> 2010s  </t>
  </si>
  <si>
    <t xml:space="preserve"> +0.246 / +0.528 </t>
  </si>
  <si>
    <t xml:space="preserve"> 9430p = 0.234    </t>
  </si>
  <si>
    <t xml:space="preserve"> 2020s  </t>
  </si>
  <si>
    <t xml:space="preserve"> +0.572 / +0.156 </t>
  </si>
  <si>
    <t xml:space="preserve"> 3151p = 0.159    </t>
  </si>
  <si>
    <t xml:space="preserve"> 38/24 coaches, 95/101 seasons  </t>
  </si>
  <si>
    <t xml:space="preserve"> 32/19 coaches, 149/76 seasons  </t>
  </si>
  <si>
    <t xml:space="preserve"> 38/25 coaches, 163/102 seasons </t>
  </si>
  <si>
    <t xml:space="preserve"> 42/33 coaches, 165/122 seasons </t>
  </si>
  <si>
    <t xml:space="preserve"> 44/32 coaches, 163/126 seasons </t>
  </si>
  <si>
    <t xml:space="preserve"> 33/22 coaches, 91/61 seasons   </t>
  </si>
  <si>
    <t xml:space="preserve"> Difference (O - D)</t>
  </si>
  <si>
    <t>U-statistic</t>
  </si>
  <si>
    <t>p-value</t>
  </si>
  <si>
    <t>Highly Significant</t>
  </si>
  <si>
    <t>-</t>
  </si>
  <si>
    <t>Sample Size, Coaches (O/D)</t>
  </si>
  <si>
    <t xml:space="preserve"> Validation Strategy          </t>
  </si>
  <si>
    <t xml:space="preserve"> Training Samples                           </t>
  </si>
  <si>
    <t xml:space="preserve"> Test Samples                          </t>
  </si>
  <si>
    <t xml:space="preserve"> Train R² </t>
  </si>
  <si>
    <t xml:space="preserve"> Test R² </t>
  </si>
  <si>
    <t xml:space="preserve"> Test RMSE </t>
  </si>
  <si>
    <t xml:space="preserve"> Generalization Gap </t>
  </si>
  <si>
    <t xml:space="preserve"> Temporal Holdout (2020-2024) </t>
  </si>
  <si>
    <t xml:space="preserve"> Holdout Coaches              </t>
  </si>
  <si>
    <t xml:space="preserve"> New Coaches in Modern Era    </t>
  </si>
  <si>
    <t xml:space="preserve"> 1,523 seasons 
(1970-2019)                   </t>
  </si>
  <si>
    <t xml:space="preserve"> 1,363 seasons
(216 coaches)                 </t>
  </si>
  <si>
    <t xml:space="preserve"> 1,652 seasons
(pre-2020 + 80% of 2020-2024) </t>
  </si>
  <si>
    <t xml:space="preserve"> 160 seasons
(2020-2024)                </t>
  </si>
  <si>
    <t xml:space="preserve"> 320 seasons
(54 coaches)               </t>
  </si>
  <si>
    <t xml:space="preserve"> 31 seasons
(11 new coaches, 2020-2024) </t>
  </si>
  <si>
    <t xml:space="preserve"> Quintile    </t>
  </si>
  <si>
    <t xml:space="preserve"> Year N WAR (games) </t>
  </si>
  <si>
    <t xml:space="preserve"> Year N+1 WAR (games) </t>
  </si>
  <si>
    <t xml:space="preserve"> Change (games) </t>
  </si>
  <si>
    <t xml:space="preserve"> % Retained </t>
  </si>
  <si>
    <t>----------------------</t>
  </si>
  <si>
    <t xml:space="preserve"> Q1 (Worst)  </t>
  </si>
  <si>
    <t xml:space="preserve"> Q2          </t>
  </si>
  <si>
    <t xml:space="preserve"> Q3 (Middle) </t>
  </si>
  <si>
    <t xml:space="preserve"> N/A        </t>
  </si>
  <si>
    <t xml:space="preserve"> Q4          </t>
  </si>
  <si>
    <t xml:space="preserve"> Q5 (Best)   </t>
  </si>
  <si>
    <t>NYG</t>
  </si>
  <si>
    <t>Bill Parcells</t>
  </si>
  <si>
    <t>PIT</t>
  </si>
  <si>
    <t>Bill Cowher</t>
  </si>
  <si>
    <t>PHI</t>
  </si>
  <si>
    <t>Jerry Williams</t>
  </si>
  <si>
    <t>CIN</t>
  </si>
  <si>
    <t>David Shula</t>
  </si>
  <si>
    <t>HTX</t>
  </si>
  <si>
    <t>Bill O'Brien</t>
  </si>
  <si>
    <t>Don McCafferty</t>
  </si>
  <si>
    <t>Rick Forzano</t>
  </si>
  <si>
    <t>Paul Brown</t>
  </si>
  <si>
    <t>-------------------------------</t>
  </si>
  <si>
    <t>---------------</t>
  </si>
  <si>
    <t>Mike Vrabel</t>
  </si>
  <si>
    <t>Bill Arnsparger</t>
  </si>
  <si>
    <t>Hue Jackson</t>
  </si>
  <si>
    <t xml:space="preserve">Sample Size, Coaches (O/D)    38/24    32/19    38/25    42/33    44/32    33/22    </t>
  </si>
  <si>
    <t xml:space="preserve">Sample Size, Seasons (O/D)    95/102    149/76    163/102    165/122    163/126    91/61    </t>
  </si>
  <si>
    <t xml:space="preserve">Mean WAR (O/D)                 -0.453 / +0.602    +0.441 / +0.368    -0.187 / +0.235    +0.056 / +0.091    +0.048 / +0.369    +0.434 / +0.059    </t>
  </si>
  <si>
    <t xml:space="preserve">Difference (O - D)             -1.055    +0.073    -0.422    -0.034    -0.321    +0.375    </t>
  </si>
  <si>
    <t xml:space="preserve">U-statistic                    3351    5488    7392    9989    9283    3080    </t>
  </si>
  <si>
    <t xml:space="preserve">p-value                        0.0002    0.7071    0.1294    0.9135    0.1619    0.2532    </t>
  </si>
  <si>
    <t xml:space="preserve">Significance                   Highly Significant    -    -    -    -    -    </t>
  </si>
  <si>
    <t>--</t>
  </si>
  <si>
    <t>Sample</t>
  </si>
  <si>
    <t>Size,</t>
  </si>
  <si>
    <t>Coaches</t>
  </si>
  <si>
    <t>(O/D)</t>
  </si>
  <si>
    <t>34/21</t>
  </si>
  <si>
    <t>30/22</t>
  </si>
  <si>
    <t>33/28</t>
  </si>
  <si>
    <t>40/37</t>
  </si>
  <si>
    <t>42/33</t>
  </si>
  <si>
    <t>33/20</t>
  </si>
  <si>
    <t>87/82</t>
  </si>
  <si>
    <t>146/83</t>
  </si>
  <si>
    <t>143/126</t>
  </si>
  <si>
    <t>152/151</t>
  </si>
  <si>
    <t>158/135</t>
  </si>
  <si>
    <t>92/56</t>
  </si>
  <si>
    <t>Mean</t>
  </si>
  <si>
    <t>/</t>
  </si>
  <si>
    <t>(O</t>
  </si>
  <si>
    <t>D)</t>
  </si>
  <si>
    <t>Significance</t>
  </si>
  <si>
    <t>Highly</t>
  </si>
  <si>
    <t>Significant</t>
  </si>
  <si>
    <t>Median</t>
  </si>
  <si>
    <t>Std</t>
  </si>
  <si>
    <t>Dev</t>
  </si>
  <si>
    <t>Mean WAR</t>
  </si>
  <si>
    <t>Median WAR</t>
  </si>
  <si>
    <t>Std Dev</t>
  </si>
  <si>
    <t>---------------------------------------------------------------------------</t>
  </si>
  <si>
    <t>games</t>
  </si>
  <si>
    <t>Mann-Whitney</t>
  </si>
  <si>
    <t>U</t>
  </si>
  <si>
    <t>test</t>
  </si>
  <si>
    <t>(All</t>
  </si>
  <si>
    <t>Seasons):</t>
  </si>
  <si>
    <t>U-statistic:</t>
  </si>
  <si>
    <t>p-value:</t>
  </si>
  <si>
    <t>Interpretation:</t>
  </si>
  <si>
    <t>Marginally</t>
  </si>
  <si>
    <t>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</si>
</sst>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mbria"/>
      <family val="1"/>
    </font>
    <font>
      <sz val="11"/>
      <color rgb="FF000000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justify" vertical="center"/>
    </xf>
    <xf numFmtId="0" fontId="0" fillId="0" borderId="0" xfId="0" applyAlignment="1">
      <alignment horizontal="center"/>
    </xf>
    <xf numFmtId="0" fontId="4" fillId="0" borderId="5" xfId="0" applyFont="1" applyBorder="1"/>
    <xf numFmtId="0" fontId="4" fillId="0" borderId="2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/>
    <xf numFmtId="0" fontId="3" fillId="0" borderId="15" xfId="0" applyFont="1" applyBorder="1"/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2" fontId="3" fillId="0" borderId="9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165" fontId="3" fillId="0" borderId="1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165" fontId="3" fillId="0" borderId="8" xfId="0" applyNumberFormat="1" applyFont="1" applyBorder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165" fontId="3" fillId="0" borderId="1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3" fillId="2" borderId="9" xfId="0" applyFont="1" applyFill="1" applyBorder="1"/>
    <xf numFmtId="0" fontId="3" fillId="2" borderId="12" xfId="0" applyFont="1" applyFill="1" applyBorder="1"/>
    <xf numFmtId="0" fontId="3" fillId="0" borderId="10" xfId="0" applyFont="1" applyBorder="1" applyAlignment="1">
      <alignment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2" borderId="14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vertical="center"/>
    </xf>
    <xf numFmtId="0" fontId="3" fillId="2" borderId="23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24" xfId="0" applyFont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0" borderId="26" xfId="0" applyFont="1" applyBorder="1" applyAlignment="1">
      <alignment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1" xfId="0" applyFont="1" applyBorder="1" applyAlignment="1">
      <alignment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2" fontId="3" fillId="0" borderId="8" xfId="0" applyNumberFormat="1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 wrapText="1"/>
    </xf>
    <xf numFmtId="2" fontId="3" fillId="0" borderId="14" xfId="0" applyNumberFormat="1" applyFont="1" applyBorder="1" applyAlignment="1">
      <alignment horizontal="center" vertical="center"/>
    </xf>
    <xf numFmtId="2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165" fontId="2" fillId="0" borderId="32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A35A-D828-4D07-8D64-009FB1479EF3}">
  <sheetPr codeName="Sheet1"/>
  <dimension ref="B1:D15"/>
  <sheetViews>
    <sheetView showGridLines="0" zoomScale="160" zoomScaleNormal="160" workbookViewId="0">
      <selection activeCell="C23" sqref="C23"/>
    </sheetView>
  </sheetViews>
  <sheetFormatPr defaultRowHeight="14.5" x14ac:dyDescent="0.35"/>
  <cols>
    <col min="2" max="2" width="30.453125" customWidth="1"/>
    <col min="3" max="3" width="17.36328125" customWidth="1"/>
    <col min="4" max="4" width="19.54296875" bestFit="1" customWidth="1"/>
  </cols>
  <sheetData>
    <row r="1" spans="2:4" ht="15" thickBot="1" x14ac:dyDescent="0.4"/>
    <row r="2" spans="2:4" ht="15" thickBot="1" x14ac:dyDescent="0.4">
      <c r="B2" s="1" t="s">
        <v>118</v>
      </c>
      <c r="C2" s="18" t="s">
        <v>732</v>
      </c>
      <c r="D2" s="2" t="s">
        <v>731</v>
      </c>
    </row>
    <row r="3" spans="2:4" ht="15.5" thickTop="1" thickBot="1" x14ac:dyDescent="0.4">
      <c r="B3" s="3" t="str" cm="1">
        <f t="array" ref="B3:B15">_xlfn.UNIQUE(Features!D3:D370)</f>
        <v>Metadata</v>
      </c>
      <c r="C3" s="19"/>
      <c r="D3" s="4" cm="1">
        <f t="array" ref="D3:D15">COUNTIF(Features!D3:D370,_xlfn.ANCHORARRAY(B3))</f>
        <v>2</v>
      </c>
    </row>
    <row r="4" spans="2:4" ht="15" thickBot="1" x14ac:dyDescent="0.4">
      <c r="B4" s="3" t="str">
        <v>Salary Cap</v>
      </c>
      <c r="C4" s="19"/>
      <c r="D4" s="4">
        <v>19</v>
      </c>
    </row>
    <row r="5" spans="2:4" ht="15" thickBot="1" x14ac:dyDescent="0.4">
      <c r="B5" s="3" t="str">
        <v>Roster Turnover</v>
      </c>
      <c r="C5" s="19"/>
      <c r="D5" s="4">
        <v>63</v>
      </c>
    </row>
    <row r="6" spans="2:4" ht="15" thickBot="1" x14ac:dyDescent="0.4">
      <c r="B6" s="3" t="str">
        <v>Starter Turnover</v>
      </c>
      <c r="C6" s="19"/>
      <c r="D6" s="4">
        <v>27</v>
      </c>
    </row>
    <row r="7" spans="2:4" ht="15" thickBot="1" x14ac:dyDescent="0.4">
      <c r="B7" s="3" t="str">
        <v>Injury/Availability</v>
      </c>
      <c r="C7" s="19"/>
      <c r="D7" s="4">
        <v>37</v>
      </c>
    </row>
    <row r="8" spans="2:4" ht="15" thickBot="1" x14ac:dyDescent="0.4">
      <c r="B8" s="3" t="str">
        <v>Player Demographics</v>
      </c>
      <c r="C8" s="19"/>
      <c r="D8" s="4">
        <v>44</v>
      </c>
    </row>
    <row r="9" spans="2:4" ht="15" thickBot="1" x14ac:dyDescent="0.4">
      <c r="B9" s="3" t="str">
        <v>Penalty/Opponent</v>
      </c>
      <c r="C9" s="19"/>
      <c r="D9" s="4">
        <v>7</v>
      </c>
    </row>
    <row r="10" spans="2:4" ht="15" thickBot="1" x14ac:dyDescent="0.4">
      <c r="B10" s="3" t="str">
        <v>Draft Capital</v>
      </c>
      <c r="C10" s="19"/>
      <c r="D10" s="4">
        <v>29</v>
      </c>
    </row>
    <row r="11" spans="2:4" ht="15" thickBot="1" x14ac:dyDescent="0.4">
      <c r="B11" s="3" t="str">
        <v>Coaching Experience</v>
      </c>
      <c r="C11" s="19" t="s">
        <v>733</v>
      </c>
      <c r="D11" s="4">
        <v>7</v>
      </c>
    </row>
    <row r="12" spans="2:4" ht="15" thickBot="1" x14ac:dyDescent="0.4">
      <c r="B12" s="3" t="str">
        <v>Prior Team Performance (OC)</v>
      </c>
      <c r="C12" s="19" t="s">
        <v>733</v>
      </c>
      <c r="D12" s="4">
        <v>33</v>
      </c>
    </row>
    <row r="13" spans="2:4" ht="15" thickBot="1" x14ac:dyDescent="0.4">
      <c r="B13" s="3" t="str">
        <v>Prior Team Performance (DC)</v>
      </c>
      <c r="C13" s="19" t="s">
        <v>733</v>
      </c>
      <c r="D13" s="4">
        <v>33</v>
      </c>
    </row>
    <row r="14" spans="2:4" ht="15" thickBot="1" x14ac:dyDescent="0.4">
      <c r="B14" s="3" t="str">
        <v>Prior Team Performance (HC)</v>
      </c>
      <c r="C14" s="19" t="s">
        <v>733</v>
      </c>
      <c r="D14" s="4">
        <v>66</v>
      </c>
    </row>
    <row r="15" spans="2:4" ht="15" thickBot="1" x14ac:dyDescent="0.4">
      <c r="B15" s="3" t="str">
        <v>Target Variable</v>
      </c>
      <c r="C15" s="19"/>
      <c r="D15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9831-1725-4379-93CD-2DC6DD2D8C52}">
  <sheetPr codeName="Sheet2"/>
  <dimension ref="B1:E370"/>
  <sheetViews>
    <sheetView showGridLines="0" topLeftCell="A316" workbookViewId="0">
      <selection activeCell="E391" sqref="E391"/>
    </sheetView>
  </sheetViews>
  <sheetFormatPr defaultRowHeight="14.5" x14ac:dyDescent="0.35"/>
  <cols>
    <col min="2" max="2" width="11.6328125" style="6" bestFit="1" customWidth="1"/>
    <col min="3" max="3" width="25.26953125" hidden="1" customWidth="1"/>
    <col min="4" max="4" width="26.90625" bestFit="1" customWidth="1"/>
    <col min="5" max="5" width="53.81640625" bestFit="1" customWidth="1"/>
  </cols>
  <sheetData>
    <row r="1" spans="2:5" ht="15" thickBot="1" x14ac:dyDescent="0.4"/>
    <row r="2" spans="2:5" ht="15" thickBot="1" x14ac:dyDescent="0.4">
      <c r="B2" s="1" t="s">
        <v>116</v>
      </c>
      <c r="C2" s="7" t="s">
        <v>117</v>
      </c>
      <c r="D2" s="7" t="s">
        <v>118</v>
      </c>
      <c r="E2" s="8" t="s">
        <v>119</v>
      </c>
    </row>
    <row r="3" spans="2:5" ht="15" thickTop="1" x14ac:dyDescent="0.35">
      <c r="B3" s="9">
        <v>1</v>
      </c>
      <c r="C3" s="10" t="s">
        <v>120</v>
      </c>
      <c r="D3" s="10" t="s">
        <v>121</v>
      </c>
      <c r="E3" s="11" t="s">
        <v>122</v>
      </c>
    </row>
    <row r="4" spans="2:5" x14ac:dyDescent="0.35">
      <c r="B4" s="12">
        <v>2</v>
      </c>
      <c r="C4" s="13" t="s">
        <v>123</v>
      </c>
      <c r="D4" s="13" t="s">
        <v>121</v>
      </c>
      <c r="E4" s="14" t="s">
        <v>124</v>
      </c>
    </row>
    <row r="5" spans="2:5" x14ac:dyDescent="0.35">
      <c r="B5" s="12">
        <v>3</v>
      </c>
      <c r="C5" s="13" t="s">
        <v>125</v>
      </c>
      <c r="D5" s="13" t="s">
        <v>1</v>
      </c>
      <c r="E5" s="14" t="s">
        <v>126</v>
      </c>
    </row>
    <row r="6" spans="2:5" x14ac:dyDescent="0.35">
      <c r="B6" s="12">
        <v>4</v>
      </c>
      <c r="C6" s="13" t="s">
        <v>127</v>
      </c>
      <c r="D6" s="13" t="s">
        <v>1</v>
      </c>
      <c r="E6" s="14" t="s">
        <v>3</v>
      </c>
    </row>
    <row r="7" spans="2:5" x14ac:dyDescent="0.35">
      <c r="B7" s="12">
        <v>5</v>
      </c>
      <c r="C7" s="13" t="s">
        <v>128</v>
      </c>
      <c r="D7" s="13" t="s">
        <v>1</v>
      </c>
      <c r="E7" s="14" t="s">
        <v>129</v>
      </c>
    </row>
    <row r="8" spans="2:5" x14ac:dyDescent="0.35">
      <c r="B8" s="12">
        <v>6</v>
      </c>
      <c r="C8" s="13" t="s">
        <v>130</v>
      </c>
      <c r="D8" s="13" t="s">
        <v>1</v>
      </c>
      <c r="E8" s="14" t="s">
        <v>131</v>
      </c>
    </row>
    <row r="9" spans="2:5" x14ac:dyDescent="0.35">
      <c r="B9" s="12">
        <v>7</v>
      </c>
      <c r="C9" s="13" t="s">
        <v>132</v>
      </c>
      <c r="D9" s="13" t="s">
        <v>1</v>
      </c>
      <c r="E9" s="14" t="s">
        <v>2</v>
      </c>
    </row>
    <row r="10" spans="2:5" x14ac:dyDescent="0.35">
      <c r="B10" s="12">
        <v>8</v>
      </c>
      <c r="C10" s="13" t="s">
        <v>4</v>
      </c>
      <c r="D10" s="13" t="s">
        <v>1</v>
      </c>
      <c r="E10" s="14" t="s">
        <v>5</v>
      </c>
    </row>
    <row r="11" spans="2:5" x14ac:dyDescent="0.35">
      <c r="B11" s="12">
        <v>9</v>
      </c>
      <c r="C11" s="13" t="s">
        <v>6</v>
      </c>
      <c r="D11" s="13" t="s">
        <v>1</v>
      </c>
      <c r="E11" s="14" t="s">
        <v>7</v>
      </c>
    </row>
    <row r="12" spans="2:5" x14ac:dyDescent="0.35">
      <c r="B12" s="12">
        <v>10</v>
      </c>
      <c r="C12" s="13" t="s">
        <v>8</v>
      </c>
      <c r="D12" s="13" t="s">
        <v>1</v>
      </c>
      <c r="E12" s="14" t="s">
        <v>9</v>
      </c>
    </row>
    <row r="13" spans="2:5" x14ac:dyDescent="0.35">
      <c r="B13" s="12">
        <v>11</v>
      </c>
      <c r="C13" s="13" t="s">
        <v>10</v>
      </c>
      <c r="D13" s="13" t="s">
        <v>1</v>
      </c>
      <c r="E13" s="14" t="s">
        <v>11</v>
      </c>
    </row>
    <row r="14" spans="2:5" x14ac:dyDescent="0.35">
      <c r="B14" s="12">
        <v>12</v>
      </c>
      <c r="C14" s="13" t="s">
        <v>12</v>
      </c>
      <c r="D14" s="13" t="s">
        <v>1</v>
      </c>
      <c r="E14" s="14" t="s">
        <v>13</v>
      </c>
    </row>
    <row r="15" spans="2:5" x14ac:dyDescent="0.35">
      <c r="B15" s="12">
        <v>13</v>
      </c>
      <c r="C15" s="13" t="s">
        <v>14</v>
      </c>
      <c r="D15" s="13" t="s">
        <v>1</v>
      </c>
      <c r="E15" s="14" t="s">
        <v>15</v>
      </c>
    </row>
    <row r="16" spans="2:5" x14ac:dyDescent="0.35">
      <c r="B16" s="12">
        <v>14</v>
      </c>
      <c r="C16" s="13" t="s">
        <v>16</v>
      </c>
      <c r="D16" s="13" t="s">
        <v>1</v>
      </c>
      <c r="E16" s="14" t="s">
        <v>17</v>
      </c>
    </row>
    <row r="17" spans="2:5" x14ac:dyDescent="0.35">
      <c r="B17" s="12">
        <v>15</v>
      </c>
      <c r="C17" s="13" t="s">
        <v>18</v>
      </c>
      <c r="D17" s="13" t="s">
        <v>1</v>
      </c>
      <c r="E17" s="14" t="s">
        <v>19</v>
      </c>
    </row>
    <row r="18" spans="2:5" x14ac:dyDescent="0.35">
      <c r="B18" s="12">
        <v>16</v>
      </c>
      <c r="C18" s="13" t="s">
        <v>20</v>
      </c>
      <c r="D18" s="13" t="s">
        <v>1</v>
      </c>
      <c r="E18" s="14" t="s">
        <v>21</v>
      </c>
    </row>
    <row r="19" spans="2:5" x14ac:dyDescent="0.35">
      <c r="B19" s="12">
        <v>17</v>
      </c>
      <c r="C19" s="13" t="s">
        <v>22</v>
      </c>
      <c r="D19" s="13" t="s">
        <v>1</v>
      </c>
      <c r="E19" s="14" t="s">
        <v>23</v>
      </c>
    </row>
    <row r="20" spans="2:5" x14ac:dyDescent="0.35">
      <c r="B20" s="12">
        <v>18</v>
      </c>
      <c r="C20" s="13" t="s">
        <v>24</v>
      </c>
      <c r="D20" s="13" t="s">
        <v>1</v>
      </c>
      <c r="E20" s="14" t="s">
        <v>25</v>
      </c>
    </row>
    <row r="21" spans="2:5" x14ac:dyDescent="0.35">
      <c r="B21" s="12">
        <v>19</v>
      </c>
      <c r="C21" s="13" t="s">
        <v>26</v>
      </c>
      <c r="D21" s="13" t="s">
        <v>1</v>
      </c>
      <c r="E21" s="14" t="s">
        <v>27</v>
      </c>
    </row>
    <row r="22" spans="2:5" x14ac:dyDescent="0.35">
      <c r="B22" s="12">
        <v>20</v>
      </c>
      <c r="C22" s="13" t="s">
        <v>28</v>
      </c>
      <c r="D22" s="13" t="s">
        <v>1</v>
      </c>
      <c r="E22" s="14" t="s">
        <v>29</v>
      </c>
    </row>
    <row r="23" spans="2:5" x14ac:dyDescent="0.35">
      <c r="B23" s="12">
        <v>21</v>
      </c>
      <c r="C23" s="13" t="s">
        <v>30</v>
      </c>
      <c r="D23" s="13" t="s">
        <v>1</v>
      </c>
      <c r="E23" s="14" t="s">
        <v>31</v>
      </c>
    </row>
    <row r="24" spans="2:5" x14ac:dyDescent="0.35">
      <c r="B24" s="12">
        <v>22</v>
      </c>
      <c r="C24" s="13" t="s">
        <v>133</v>
      </c>
      <c r="D24" s="13" t="s">
        <v>32</v>
      </c>
      <c r="E24" s="14" t="s">
        <v>134</v>
      </c>
    </row>
    <row r="25" spans="2:5" x14ac:dyDescent="0.35">
      <c r="B25" s="12">
        <v>23</v>
      </c>
      <c r="C25" s="13" t="s">
        <v>135</v>
      </c>
      <c r="D25" s="13" t="s">
        <v>32</v>
      </c>
      <c r="E25" s="14" t="s">
        <v>136</v>
      </c>
    </row>
    <row r="26" spans="2:5" x14ac:dyDescent="0.35">
      <c r="B26" s="12">
        <v>24</v>
      </c>
      <c r="C26" s="13" t="s">
        <v>137</v>
      </c>
      <c r="D26" s="13" t="s">
        <v>32</v>
      </c>
      <c r="E26" s="14" t="s">
        <v>138</v>
      </c>
    </row>
    <row r="27" spans="2:5" x14ac:dyDescent="0.35">
      <c r="B27" s="12">
        <v>25</v>
      </c>
      <c r="C27" s="13" t="s">
        <v>139</v>
      </c>
      <c r="D27" s="13" t="s">
        <v>32</v>
      </c>
      <c r="E27" s="14" t="s">
        <v>33</v>
      </c>
    </row>
    <row r="28" spans="2:5" x14ac:dyDescent="0.35">
      <c r="B28" s="12">
        <v>26</v>
      </c>
      <c r="C28" s="13" t="s">
        <v>140</v>
      </c>
      <c r="D28" s="13" t="s">
        <v>32</v>
      </c>
      <c r="E28" s="14" t="s">
        <v>34</v>
      </c>
    </row>
    <row r="29" spans="2:5" x14ac:dyDescent="0.35">
      <c r="B29" s="12">
        <v>27</v>
      </c>
      <c r="C29" s="13" t="s">
        <v>141</v>
      </c>
      <c r="D29" s="13" t="s">
        <v>32</v>
      </c>
      <c r="E29" s="14" t="s">
        <v>35</v>
      </c>
    </row>
    <row r="30" spans="2:5" x14ac:dyDescent="0.35">
      <c r="B30" s="12">
        <v>28</v>
      </c>
      <c r="C30" s="13" t="s">
        <v>142</v>
      </c>
      <c r="D30" s="13" t="s">
        <v>32</v>
      </c>
      <c r="E30" s="14" t="s">
        <v>143</v>
      </c>
    </row>
    <row r="31" spans="2:5" x14ac:dyDescent="0.35">
      <c r="B31" s="12">
        <v>29</v>
      </c>
      <c r="C31" s="13" t="s">
        <v>144</v>
      </c>
      <c r="D31" s="13" t="s">
        <v>32</v>
      </c>
      <c r="E31" s="14" t="s">
        <v>145</v>
      </c>
    </row>
    <row r="32" spans="2:5" x14ac:dyDescent="0.35">
      <c r="B32" s="12">
        <v>30</v>
      </c>
      <c r="C32" s="13" t="s">
        <v>146</v>
      </c>
      <c r="D32" s="13" t="s">
        <v>32</v>
      </c>
      <c r="E32" s="14" t="s">
        <v>147</v>
      </c>
    </row>
    <row r="33" spans="2:5" x14ac:dyDescent="0.35">
      <c r="B33" s="12">
        <v>31</v>
      </c>
      <c r="C33" s="13" t="s">
        <v>148</v>
      </c>
      <c r="D33" s="13" t="s">
        <v>32</v>
      </c>
      <c r="E33" s="14" t="s">
        <v>149</v>
      </c>
    </row>
    <row r="34" spans="2:5" x14ac:dyDescent="0.35">
      <c r="B34" s="12">
        <v>32</v>
      </c>
      <c r="C34" s="13" t="s">
        <v>150</v>
      </c>
      <c r="D34" s="13" t="s">
        <v>32</v>
      </c>
      <c r="E34" s="14" t="s">
        <v>36</v>
      </c>
    </row>
    <row r="35" spans="2:5" x14ac:dyDescent="0.35">
      <c r="B35" s="12">
        <v>33</v>
      </c>
      <c r="C35" s="13" t="s">
        <v>151</v>
      </c>
      <c r="D35" s="13" t="s">
        <v>32</v>
      </c>
      <c r="E35" s="14" t="s">
        <v>37</v>
      </c>
    </row>
    <row r="36" spans="2:5" x14ac:dyDescent="0.35">
      <c r="B36" s="12">
        <v>34</v>
      </c>
      <c r="C36" s="13" t="s">
        <v>152</v>
      </c>
      <c r="D36" s="13" t="s">
        <v>32</v>
      </c>
      <c r="E36" s="14" t="s">
        <v>38</v>
      </c>
    </row>
    <row r="37" spans="2:5" x14ac:dyDescent="0.35">
      <c r="B37" s="12">
        <v>35</v>
      </c>
      <c r="C37" s="13" t="s">
        <v>153</v>
      </c>
      <c r="D37" s="13" t="s">
        <v>32</v>
      </c>
      <c r="E37" s="14" t="s">
        <v>154</v>
      </c>
    </row>
    <row r="38" spans="2:5" x14ac:dyDescent="0.35">
      <c r="B38" s="12">
        <v>36</v>
      </c>
      <c r="C38" s="13" t="s">
        <v>155</v>
      </c>
      <c r="D38" s="13" t="s">
        <v>32</v>
      </c>
      <c r="E38" s="14" t="s">
        <v>156</v>
      </c>
    </row>
    <row r="39" spans="2:5" x14ac:dyDescent="0.35">
      <c r="B39" s="12">
        <v>37</v>
      </c>
      <c r="C39" s="13" t="s">
        <v>157</v>
      </c>
      <c r="D39" s="13" t="s">
        <v>32</v>
      </c>
      <c r="E39" s="14" t="s">
        <v>158</v>
      </c>
    </row>
    <row r="40" spans="2:5" x14ac:dyDescent="0.35">
      <c r="B40" s="12">
        <v>38</v>
      </c>
      <c r="C40" s="13" t="s">
        <v>159</v>
      </c>
      <c r="D40" s="13" t="s">
        <v>32</v>
      </c>
      <c r="E40" s="14" t="s">
        <v>160</v>
      </c>
    </row>
    <row r="41" spans="2:5" x14ac:dyDescent="0.35">
      <c r="B41" s="12">
        <v>39</v>
      </c>
      <c r="C41" s="13" t="s">
        <v>161</v>
      </c>
      <c r="D41" s="13" t="s">
        <v>32</v>
      </c>
      <c r="E41" s="14" t="s">
        <v>39</v>
      </c>
    </row>
    <row r="42" spans="2:5" x14ac:dyDescent="0.35">
      <c r="B42" s="12">
        <v>40</v>
      </c>
      <c r="C42" s="13" t="s">
        <v>162</v>
      </c>
      <c r="D42" s="13" t="s">
        <v>32</v>
      </c>
      <c r="E42" s="14" t="s">
        <v>40</v>
      </c>
    </row>
    <row r="43" spans="2:5" x14ac:dyDescent="0.35">
      <c r="B43" s="12">
        <v>41</v>
      </c>
      <c r="C43" s="13" t="s">
        <v>163</v>
      </c>
      <c r="D43" s="13" t="s">
        <v>32</v>
      </c>
      <c r="E43" s="14" t="s">
        <v>41</v>
      </c>
    </row>
    <row r="44" spans="2:5" x14ac:dyDescent="0.35">
      <c r="B44" s="12">
        <v>42</v>
      </c>
      <c r="C44" s="13" t="s">
        <v>164</v>
      </c>
      <c r="D44" s="13" t="s">
        <v>32</v>
      </c>
      <c r="E44" s="14" t="s">
        <v>165</v>
      </c>
    </row>
    <row r="45" spans="2:5" x14ac:dyDescent="0.35">
      <c r="B45" s="12">
        <v>43</v>
      </c>
      <c r="C45" s="13" t="s">
        <v>166</v>
      </c>
      <c r="D45" s="13" t="s">
        <v>32</v>
      </c>
      <c r="E45" s="14" t="s">
        <v>167</v>
      </c>
    </row>
    <row r="46" spans="2:5" x14ac:dyDescent="0.35">
      <c r="B46" s="12">
        <v>44</v>
      </c>
      <c r="C46" s="13" t="s">
        <v>168</v>
      </c>
      <c r="D46" s="13" t="s">
        <v>32</v>
      </c>
      <c r="E46" s="14" t="s">
        <v>169</v>
      </c>
    </row>
    <row r="47" spans="2:5" x14ac:dyDescent="0.35">
      <c r="B47" s="12">
        <v>45</v>
      </c>
      <c r="C47" s="13" t="s">
        <v>170</v>
      </c>
      <c r="D47" s="13" t="s">
        <v>32</v>
      </c>
      <c r="E47" s="14" t="s">
        <v>171</v>
      </c>
    </row>
    <row r="48" spans="2:5" x14ac:dyDescent="0.35">
      <c r="B48" s="12">
        <v>46</v>
      </c>
      <c r="C48" s="13" t="s">
        <v>172</v>
      </c>
      <c r="D48" s="13" t="s">
        <v>32</v>
      </c>
      <c r="E48" s="14" t="s">
        <v>42</v>
      </c>
    </row>
    <row r="49" spans="2:5" x14ac:dyDescent="0.35">
      <c r="B49" s="12">
        <v>47</v>
      </c>
      <c r="C49" s="13" t="s">
        <v>173</v>
      </c>
      <c r="D49" s="13" t="s">
        <v>32</v>
      </c>
      <c r="E49" s="14" t="s">
        <v>43</v>
      </c>
    </row>
    <row r="50" spans="2:5" x14ac:dyDescent="0.35">
      <c r="B50" s="12">
        <v>48</v>
      </c>
      <c r="C50" s="13" t="s">
        <v>174</v>
      </c>
      <c r="D50" s="13" t="s">
        <v>32</v>
      </c>
      <c r="E50" s="14" t="s">
        <v>44</v>
      </c>
    </row>
    <row r="51" spans="2:5" x14ac:dyDescent="0.35">
      <c r="B51" s="12">
        <v>49</v>
      </c>
      <c r="C51" s="13" t="s">
        <v>175</v>
      </c>
      <c r="D51" s="13" t="s">
        <v>32</v>
      </c>
      <c r="E51" s="14" t="s">
        <v>176</v>
      </c>
    </row>
    <row r="52" spans="2:5" x14ac:dyDescent="0.35">
      <c r="B52" s="12">
        <v>50</v>
      </c>
      <c r="C52" s="13" t="s">
        <v>177</v>
      </c>
      <c r="D52" s="13" t="s">
        <v>32</v>
      </c>
      <c r="E52" s="14" t="s">
        <v>178</v>
      </c>
    </row>
    <row r="53" spans="2:5" x14ac:dyDescent="0.35">
      <c r="B53" s="12">
        <v>51</v>
      </c>
      <c r="C53" s="13" t="s">
        <v>179</v>
      </c>
      <c r="D53" s="13" t="s">
        <v>32</v>
      </c>
      <c r="E53" s="14" t="s">
        <v>180</v>
      </c>
    </row>
    <row r="54" spans="2:5" x14ac:dyDescent="0.35">
      <c r="B54" s="12">
        <v>52</v>
      </c>
      <c r="C54" s="13" t="s">
        <v>181</v>
      </c>
      <c r="D54" s="13" t="s">
        <v>32</v>
      </c>
      <c r="E54" s="14" t="s">
        <v>182</v>
      </c>
    </row>
    <row r="55" spans="2:5" x14ac:dyDescent="0.35">
      <c r="B55" s="12">
        <v>53</v>
      </c>
      <c r="C55" s="13" t="s">
        <v>183</v>
      </c>
      <c r="D55" s="13" t="s">
        <v>32</v>
      </c>
      <c r="E55" s="14" t="s">
        <v>45</v>
      </c>
    </row>
    <row r="56" spans="2:5" x14ac:dyDescent="0.35">
      <c r="B56" s="12">
        <v>54</v>
      </c>
      <c r="C56" s="13" t="s">
        <v>184</v>
      </c>
      <c r="D56" s="13" t="s">
        <v>32</v>
      </c>
      <c r="E56" s="14" t="s">
        <v>46</v>
      </c>
    </row>
    <row r="57" spans="2:5" x14ac:dyDescent="0.35">
      <c r="B57" s="12">
        <v>55</v>
      </c>
      <c r="C57" s="13" t="s">
        <v>185</v>
      </c>
      <c r="D57" s="13" t="s">
        <v>32</v>
      </c>
      <c r="E57" s="14" t="s">
        <v>186</v>
      </c>
    </row>
    <row r="58" spans="2:5" x14ac:dyDescent="0.35">
      <c r="B58" s="12">
        <v>56</v>
      </c>
      <c r="C58" s="13" t="s">
        <v>187</v>
      </c>
      <c r="D58" s="13" t="s">
        <v>32</v>
      </c>
      <c r="E58" s="14" t="s">
        <v>188</v>
      </c>
    </row>
    <row r="59" spans="2:5" x14ac:dyDescent="0.35">
      <c r="B59" s="12">
        <v>57</v>
      </c>
      <c r="C59" s="13" t="s">
        <v>189</v>
      </c>
      <c r="D59" s="13" t="s">
        <v>32</v>
      </c>
      <c r="E59" s="14" t="s">
        <v>190</v>
      </c>
    </row>
    <row r="60" spans="2:5" x14ac:dyDescent="0.35">
      <c r="B60" s="12">
        <v>58</v>
      </c>
      <c r="C60" s="13" t="s">
        <v>191</v>
      </c>
      <c r="D60" s="13" t="s">
        <v>32</v>
      </c>
      <c r="E60" s="14" t="s">
        <v>192</v>
      </c>
    </row>
    <row r="61" spans="2:5" x14ac:dyDescent="0.35">
      <c r="B61" s="12">
        <v>59</v>
      </c>
      <c r="C61" s="13" t="s">
        <v>193</v>
      </c>
      <c r="D61" s="13" t="s">
        <v>32</v>
      </c>
      <c r="E61" s="14" t="s">
        <v>194</v>
      </c>
    </row>
    <row r="62" spans="2:5" x14ac:dyDescent="0.35">
      <c r="B62" s="12">
        <v>60</v>
      </c>
      <c r="C62" s="13" t="s">
        <v>195</v>
      </c>
      <c r="D62" s="13" t="s">
        <v>32</v>
      </c>
      <c r="E62" s="14" t="s">
        <v>47</v>
      </c>
    </row>
    <row r="63" spans="2:5" x14ac:dyDescent="0.35">
      <c r="B63" s="12">
        <v>61</v>
      </c>
      <c r="C63" s="13" t="s">
        <v>196</v>
      </c>
      <c r="D63" s="13" t="s">
        <v>32</v>
      </c>
      <c r="E63" s="14" t="s">
        <v>48</v>
      </c>
    </row>
    <row r="64" spans="2:5" x14ac:dyDescent="0.35">
      <c r="B64" s="12">
        <v>62</v>
      </c>
      <c r="C64" s="13" t="s">
        <v>197</v>
      </c>
      <c r="D64" s="13" t="s">
        <v>32</v>
      </c>
      <c r="E64" s="14" t="s">
        <v>198</v>
      </c>
    </row>
    <row r="65" spans="2:5" x14ac:dyDescent="0.35">
      <c r="B65" s="12">
        <v>63</v>
      </c>
      <c r="C65" s="13" t="s">
        <v>199</v>
      </c>
      <c r="D65" s="13" t="s">
        <v>32</v>
      </c>
      <c r="E65" s="14" t="s">
        <v>200</v>
      </c>
    </row>
    <row r="66" spans="2:5" x14ac:dyDescent="0.35">
      <c r="B66" s="12">
        <v>64</v>
      </c>
      <c r="C66" s="13" t="s">
        <v>201</v>
      </c>
      <c r="D66" s="13" t="s">
        <v>32</v>
      </c>
      <c r="E66" s="14" t="s">
        <v>202</v>
      </c>
    </row>
    <row r="67" spans="2:5" x14ac:dyDescent="0.35">
      <c r="B67" s="12">
        <v>65</v>
      </c>
      <c r="C67" s="13" t="s">
        <v>203</v>
      </c>
      <c r="D67" s="13" t="s">
        <v>32</v>
      </c>
      <c r="E67" s="14" t="s">
        <v>204</v>
      </c>
    </row>
    <row r="68" spans="2:5" x14ac:dyDescent="0.35">
      <c r="B68" s="12">
        <v>66</v>
      </c>
      <c r="C68" s="13" t="s">
        <v>205</v>
      </c>
      <c r="D68" s="13" t="s">
        <v>32</v>
      </c>
      <c r="E68" s="14" t="s">
        <v>206</v>
      </c>
    </row>
    <row r="69" spans="2:5" x14ac:dyDescent="0.35">
      <c r="B69" s="12">
        <v>67</v>
      </c>
      <c r="C69" s="13" t="s">
        <v>207</v>
      </c>
      <c r="D69" s="13" t="s">
        <v>32</v>
      </c>
      <c r="E69" s="14" t="s">
        <v>49</v>
      </c>
    </row>
    <row r="70" spans="2:5" x14ac:dyDescent="0.35">
      <c r="B70" s="12">
        <v>68</v>
      </c>
      <c r="C70" s="13" t="s">
        <v>208</v>
      </c>
      <c r="D70" s="13" t="s">
        <v>32</v>
      </c>
      <c r="E70" s="14" t="s">
        <v>50</v>
      </c>
    </row>
    <row r="71" spans="2:5" x14ac:dyDescent="0.35">
      <c r="B71" s="12">
        <v>69</v>
      </c>
      <c r="C71" s="13" t="s">
        <v>209</v>
      </c>
      <c r="D71" s="13" t="s">
        <v>32</v>
      </c>
      <c r="E71" s="14" t="s">
        <v>210</v>
      </c>
    </row>
    <row r="72" spans="2:5" x14ac:dyDescent="0.35">
      <c r="B72" s="12">
        <v>70</v>
      </c>
      <c r="C72" s="13" t="s">
        <v>211</v>
      </c>
      <c r="D72" s="13" t="s">
        <v>32</v>
      </c>
      <c r="E72" s="14" t="s">
        <v>212</v>
      </c>
    </row>
    <row r="73" spans="2:5" x14ac:dyDescent="0.35">
      <c r="B73" s="12">
        <v>71</v>
      </c>
      <c r="C73" s="13" t="s">
        <v>213</v>
      </c>
      <c r="D73" s="13" t="s">
        <v>32</v>
      </c>
      <c r="E73" s="14" t="s">
        <v>214</v>
      </c>
    </row>
    <row r="74" spans="2:5" x14ac:dyDescent="0.35">
      <c r="B74" s="12">
        <v>72</v>
      </c>
      <c r="C74" s="13" t="s">
        <v>215</v>
      </c>
      <c r="D74" s="13" t="s">
        <v>32</v>
      </c>
      <c r="E74" s="14" t="s">
        <v>216</v>
      </c>
    </row>
    <row r="75" spans="2:5" x14ac:dyDescent="0.35">
      <c r="B75" s="12">
        <v>73</v>
      </c>
      <c r="C75" s="13" t="s">
        <v>217</v>
      </c>
      <c r="D75" s="13" t="s">
        <v>32</v>
      </c>
      <c r="E75" s="14" t="s">
        <v>218</v>
      </c>
    </row>
    <row r="76" spans="2:5" x14ac:dyDescent="0.35">
      <c r="B76" s="12">
        <v>74</v>
      </c>
      <c r="C76" s="13" t="s">
        <v>219</v>
      </c>
      <c r="D76" s="13" t="s">
        <v>32</v>
      </c>
      <c r="E76" s="14" t="s">
        <v>51</v>
      </c>
    </row>
    <row r="77" spans="2:5" x14ac:dyDescent="0.35">
      <c r="B77" s="12">
        <v>75</v>
      </c>
      <c r="C77" s="13" t="s">
        <v>220</v>
      </c>
      <c r="D77" s="13" t="s">
        <v>32</v>
      </c>
      <c r="E77" s="14" t="s">
        <v>52</v>
      </c>
    </row>
    <row r="78" spans="2:5" x14ac:dyDescent="0.35">
      <c r="B78" s="12">
        <v>76</v>
      </c>
      <c r="C78" s="13" t="s">
        <v>221</v>
      </c>
      <c r="D78" s="13" t="s">
        <v>32</v>
      </c>
      <c r="E78" s="14" t="s">
        <v>222</v>
      </c>
    </row>
    <row r="79" spans="2:5" x14ac:dyDescent="0.35">
      <c r="B79" s="12">
        <v>77</v>
      </c>
      <c r="C79" s="13" t="s">
        <v>223</v>
      </c>
      <c r="D79" s="13" t="s">
        <v>32</v>
      </c>
      <c r="E79" s="14" t="s">
        <v>224</v>
      </c>
    </row>
    <row r="80" spans="2:5" x14ac:dyDescent="0.35">
      <c r="B80" s="12">
        <v>78</v>
      </c>
      <c r="C80" s="13" t="s">
        <v>225</v>
      </c>
      <c r="D80" s="13" t="s">
        <v>32</v>
      </c>
      <c r="E80" s="14" t="s">
        <v>226</v>
      </c>
    </row>
    <row r="81" spans="2:5" x14ac:dyDescent="0.35">
      <c r="B81" s="12">
        <v>79</v>
      </c>
      <c r="C81" s="13" t="s">
        <v>227</v>
      </c>
      <c r="D81" s="13" t="s">
        <v>32</v>
      </c>
      <c r="E81" s="14" t="s">
        <v>228</v>
      </c>
    </row>
    <row r="82" spans="2:5" x14ac:dyDescent="0.35">
      <c r="B82" s="12">
        <v>80</v>
      </c>
      <c r="C82" s="13" t="s">
        <v>229</v>
      </c>
      <c r="D82" s="13" t="s">
        <v>32</v>
      </c>
      <c r="E82" s="14" t="s">
        <v>230</v>
      </c>
    </row>
    <row r="83" spans="2:5" x14ac:dyDescent="0.35">
      <c r="B83" s="12">
        <v>81</v>
      </c>
      <c r="C83" s="13" t="s">
        <v>231</v>
      </c>
      <c r="D83" s="13" t="s">
        <v>32</v>
      </c>
      <c r="E83" s="14" t="s">
        <v>53</v>
      </c>
    </row>
    <row r="84" spans="2:5" x14ac:dyDescent="0.35">
      <c r="B84" s="12">
        <v>82</v>
      </c>
      <c r="C84" s="13" t="s">
        <v>232</v>
      </c>
      <c r="D84" s="13" t="s">
        <v>32</v>
      </c>
      <c r="E84" s="14" t="s">
        <v>54</v>
      </c>
    </row>
    <row r="85" spans="2:5" x14ac:dyDescent="0.35">
      <c r="B85" s="12">
        <v>83</v>
      </c>
      <c r="C85" s="13" t="s">
        <v>233</v>
      </c>
      <c r="D85" s="13" t="s">
        <v>32</v>
      </c>
      <c r="E85" s="14" t="s">
        <v>234</v>
      </c>
    </row>
    <row r="86" spans="2:5" x14ac:dyDescent="0.35">
      <c r="B86" s="12">
        <v>84</v>
      </c>
      <c r="C86" s="13" t="s">
        <v>235</v>
      </c>
      <c r="D86" s="13" t="s">
        <v>32</v>
      </c>
      <c r="E86" s="14" t="s">
        <v>236</v>
      </c>
    </row>
    <row r="87" spans="2:5" x14ac:dyDescent="0.35">
      <c r="B87" s="12">
        <v>85</v>
      </c>
      <c r="C87" s="13" t="s">
        <v>237</v>
      </c>
      <c r="D87" s="13" t="s">
        <v>55</v>
      </c>
      <c r="E87" s="14" t="s">
        <v>735</v>
      </c>
    </row>
    <row r="88" spans="2:5" x14ac:dyDescent="0.35">
      <c r="B88" s="12">
        <v>86</v>
      </c>
      <c r="C88" s="13" t="s">
        <v>238</v>
      </c>
      <c r="D88" s="13" t="s">
        <v>55</v>
      </c>
      <c r="E88" s="14" t="s">
        <v>736</v>
      </c>
    </row>
    <row r="89" spans="2:5" x14ac:dyDescent="0.35">
      <c r="B89" s="12">
        <v>87</v>
      </c>
      <c r="C89" s="13" t="s">
        <v>239</v>
      </c>
      <c r="D89" s="13" t="s">
        <v>55</v>
      </c>
      <c r="E89" s="14" t="s">
        <v>737</v>
      </c>
    </row>
    <row r="90" spans="2:5" x14ac:dyDescent="0.35">
      <c r="B90" s="12">
        <v>88</v>
      </c>
      <c r="C90" s="13" t="s">
        <v>240</v>
      </c>
      <c r="D90" s="13" t="s">
        <v>55</v>
      </c>
      <c r="E90" s="14" t="s">
        <v>738</v>
      </c>
    </row>
    <row r="91" spans="2:5" x14ac:dyDescent="0.35">
      <c r="B91" s="12">
        <v>89</v>
      </c>
      <c r="C91" s="13" t="s">
        <v>241</v>
      </c>
      <c r="D91" s="13" t="s">
        <v>55</v>
      </c>
      <c r="E91" s="14" t="s">
        <v>739</v>
      </c>
    </row>
    <row r="92" spans="2:5" x14ac:dyDescent="0.35">
      <c r="B92" s="12">
        <v>90</v>
      </c>
      <c r="C92" s="13" t="s">
        <v>242</v>
      </c>
      <c r="D92" s="13" t="s">
        <v>55</v>
      </c>
      <c r="E92" s="14" t="s">
        <v>740</v>
      </c>
    </row>
    <row r="93" spans="2:5" x14ac:dyDescent="0.35">
      <c r="B93" s="12">
        <v>91</v>
      </c>
      <c r="C93" s="13" t="s">
        <v>243</v>
      </c>
      <c r="D93" s="13" t="s">
        <v>55</v>
      </c>
      <c r="E93" s="14" t="s">
        <v>741</v>
      </c>
    </row>
    <row r="94" spans="2:5" x14ac:dyDescent="0.35">
      <c r="B94" s="12">
        <v>92</v>
      </c>
      <c r="C94" s="13" t="s">
        <v>244</v>
      </c>
      <c r="D94" s="13" t="s">
        <v>55</v>
      </c>
      <c r="E94" s="14" t="s">
        <v>742</v>
      </c>
    </row>
    <row r="95" spans="2:5" x14ac:dyDescent="0.35">
      <c r="B95" s="12">
        <v>93</v>
      </c>
      <c r="C95" s="13" t="s">
        <v>245</v>
      </c>
      <c r="D95" s="13" t="s">
        <v>55</v>
      </c>
      <c r="E95" s="14" t="s">
        <v>743</v>
      </c>
    </row>
    <row r="96" spans="2:5" x14ac:dyDescent="0.35">
      <c r="B96" s="12">
        <v>94</v>
      </c>
      <c r="C96" s="13" t="s">
        <v>246</v>
      </c>
      <c r="D96" s="13" t="s">
        <v>55</v>
      </c>
      <c r="E96" s="14" t="s">
        <v>744</v>
      </c>
    </row>
    <row r="97" spans="2:5" x14ac:dyDescent="0.35">
      <c r="B97" s="12">
        <v>95</v>
      </c>
      <c r="C97" s="13" t="s">
        <v>247</v>
      </c>
      <c r="D97" s="13" t="s">
        <v>55</v>
      </c>
      <c r="E97" s="14" t="s">
        <v>745</v>
      </c>
    </row>
    <row r="98" spans="2:5" x14ac:dyDescent="0.35">
      <c r="B98" s="12">
        <v>96</v>
      </c>
      <c r="C98" s="13" t="s">
        <v>248</v>
      </c>
      <c r="D98" s="13" t="s">
        <v>55</v>
      </c>
      <c r="E98" s="14" t="s">
        <v>746</v>
      </c>
    </row>
    <row r="99" spans="2:5" x14ac:dyDescent="0.35">
      <c r="B99" s="12">
        <v>97</v>
      </c>
      <c r="C99" s="13" t="s">
        <v>249</v>
      </c>
      <c r="D99" s="13" t="s">
        <v>55</v>
      </c>
      <c r="E99" s="14" t="s">
        <v>747</v>
      </c>
    </row>
    <row r="100" spans="2:5" x14ac:dyDescent="0.35">
      <c r="B100" s="12">
        <v>98</v>
      </c>
      <c r="C100" s="13" t="s">
        <v>250</v>
      </c>
      <c r="D100" s="13" t="s">
        <v>55</v>
      </c>
      <c r="E100" s="14" t="s">
        <v>748</v>
      </c>
    </row>
    <row r="101" spans="2:5" x14ac:dyDescent="0.35">
      <c r="B101" s="12">
        <v>99</v>
      </c>
      <c r="C101" s="13" t="s">
        <v>251</v>
      </c>
      <c r="D101" s="13" t="s">
        <v>55</v>
      </c>
      <c r="E101" s="14" t="s">
        <v>749</v>
      </c>
    </row>
    <row r="102" spans="2:5" x14ac:dyDescent="0.35">
      <c r="B102" s="12">
        <v>100</v>
      </c>
      <c r="C102" s="13" t="s">
        <v>252</v>
      </c>
      <c r="D102" s="13" t="s">
        <v>55</v>
      </c>
      <c r="E102" s="14" t="s">
        <v>750</v>
      </c>
    </row>
    <row r="103" spans="2:5" x14ac:dyDescent="0.35">
      <c r="B103" s="12">
        <v>101</v>
      </c>
      <c r="C103" s="13" t="s">
        <v>253</v>
      </c>
      <c r="D103" s="13" t="s">
        <v>55</v>
      </c>
      <c r="E103" s="14" t="s">
        <v>751</v>
      </c>
    </row>
    <row r="104" spans="2:5" x14ac:dyDescent="0.35">
      <c r="B104" s="12">
        <v>102</v>
      </c>
      <c r="C104" s="13" t="s">
        <v>254</v>
      </c>
      <c r="D104" s="13" t="s">
        <v>55</v>
      </c>
      <c r="E104" s="14" t="s">
        <v>752</v>
      </c>
    </row>
    <row r="105" spans="2:5" x14ac:dyDescent="0.35">
      <c r="B105" s="12">
        <v>103</v>
      </c>
      <c r="C105" s="13" t="s">
        <v>255</v>
      </c>
      <c r="D105" s="13" t="s">
        <v>55</v>
      </c>
      <c r="E105" s="14" t="s">
        <v>753</v>
      </c>
    </row>
    <row r="106" spans="2:5" x14ac:dyDescent="0.35">
      <c r="B106" s="12">
        <v>104</v>
      </c>
      <c r="C106" s="13" t="s">
        <v>256</v>
      </c>
      <c r="D106" s="13" t="s">
        <v>55</v>
      </c>
      <c r="E106" s="14" t="s">
        <v>754</v>
      </c>
    </row>
    <row r="107" spans="2:5" x14ac:dyDescent="0.35">
      <c r="B107" s="12">
        <v>105</v>
      </c>
      <c r="C107" s="13" t="s">
        <v>257</v>
      </c>
      <c r="D107" s="13" t="s">
        <v>55</v>
      </c>
      <c r="E107" s="14" t="s">
        <v>755</v>
      </c>
    </row>
    <row r="108" spans="2:5" x14ac:dyDescent="0.35">
      <c r="B108" s="12">
        <v>106</v>
      </c>
      <c r="C108" s="13" t="s">
        <v>258</v>
      </c>
      <c r="D108" s="13" t="s">
        <v>55</v>
      </c>
      <c r="E108" s="14" t="s">
        <v>756</v>
      </c>
    </row>
    <row r="109" spans="2:5" x14ac:dyDescent="0.35">
      <c r="B109" s="12">
        <v>107</v>
      </c>
      <c r="C109" s="13" t="s">
        <v>259</v>
      </c>
      <c r="D109" s="13" t="s">
        <v>55</v>
      </c>
      <c r="E109" s="14" t="s">
        <v>757</v>
      </c>
    </row>
    <row r="110" spans="2:5" x14ac:dyDescent="0.35">
      <c r="B110" s="12">
        <v>108</v>
      </c>
      <c r="C110" s="13" t="s">
        <v>260</v>
      </c>
      <c r="D110" s="13" t="s">
        <v>55</v>
      </c>
      <c r="E110" s="14" t="s">
        <v>758</v>
      </c>
    </row>
    <row r="111" spans="2:5" x14ac:dyDescent="0.35">
      <c r="B111" s="12">
        <v>109</v>
      </c>
      <c r="C111" s="13" t="s">
        <v>261</v>
      </c>
      <c r="D111" s="13" t="s">
        <v>55</v>
      </c>
      <c r="E111" s="14" t="s">
        <v>759</v>
      </c>
    </row>
    <row r="112" spans="2:5" x14ac:dyDescent="0.35">
      <c r="B112" s="12">
        <v>110</v>
      </c>
      <c r="C112" s="13" t="s">
        <v>262</v>
      </c>
      <c r="D112" s="13" t="s">
        <v>55</v>
      </c>
      <c r="E112" s="14" t="s">
        <v>760</v>
      </c>
    </row>
    <row r="113" spans="2:5" x14ac:dyDescent="0.35">
      <c r="B113" s="12">
        <v>111</v>
      </c>
      <c r="C113" s="13" t="s">
        <v>263</v>
      </c>
      <c r="D113" s="13" t="s">
        <v>55</v>
      </c>
      <c r="E113" s="14" t="s">
        <v>761</v>
      </c>
    </row>
    <row r="114" spans="2:5" x14ac:dyDescent="0.35">
      <c r="B114" s="12">
        <v>112</v>
      </c>
      <c r="C114" s="13" t="s">
        <v>264</v>
      </c>
      <c r="D114" s="13" t="s">
        <v>56</v>
      </c>
      <c r="E114" s="14" t="s">
        <v>265</v>
      </c>
    </row>
    <row r="115" spans="2:5" x14ac:dyDescent="0.35">
      <c r="B115" s="12">
        <v>113</v>
      </c>
      <c r="C115" s="13" t="s">
        <v>266</v>
      </c>
      <c r="D115" s="13" t="s">
        <v>56</v>
      </c>
      <c r="E115" s="14" t="s">
        <v>57</v>
      </c>
    </row>
    <row r="116" spans="2:5" x14ac:dyDescent="0.35">
      <c r="B116" s="12">
        <v>114</v>
      </c>
      <c r="C116" s="13" t="s">
        <v>267</v>
      </c>
      <c r="D116" s="13" t="s">
        <v>56</v>
      </c>
      <c r="E116" s="14" t="s">
        <v>58</v>
      </c>
    </row>
    <row r="117" spans="2:5" x14ac:dyDescent="0.35">
      <c r="B117" s="12">
        <v>115</v>
      </c>
      <c r="C117" s="13" t="s">
        <v>268</v>
      </c>
      <c r="D117" s="13" t="s">
        <v>56</v>
      </c>
      <c r="E117" s="14" t="s">
        <v>59</v>
      </c>
    </row>
    <row r="118" spans="2:5" x14ac:dyDescent="0.35">
      <c r="B118" s="12">
        <v>116</v>
      </c>
      <c r="C118" s="13" t="s">
        <v>269</v>
      </c>
      <c r="D118" s="13" t="s">
        <v>56</v>
      </c>
      <c r="E118" s="14" t="s">
        <v>61</v>
      </c>
    </row>
    <row r="119" spans="2:5" x14ac:dyDescent="0.35">
      <c r="B119" s="12">
        <v>117</v>
      </c>
      <c r="C119" s="13" t="s">
        <v>270</v>
      </c>
      <c r="D119" s="13" t="s">
        <v>56</v>
      </c>
      <c r="E119" s="14" t="s">
        <v>62</v>
      </c>
    </row>
    <row r="120" spans="2:5" x14ac:dyDescent="0.35">
      <c r="B120" s="12">
        <v>118</v>
      </c>
      <c r="C120" s="13" t="s">
        <v>271</v>
      </c>
      <c r="D120" s="13" t="s">
        <v>56</v>
      </c>
      <c r="E120" s="14" t="s">
        <v>63</v>
      </c>
    </row>
    <row r="121" spans="2:5" x14ac:dyDescent="0.35">
      <c r="B121" s="12">
        <v>119</v>
      </c>
      <c r="C121" s="13" t="s">
        <v>272</v>
      </c>
      <c r="D121" s="13" t="s">
        <v>56</v>
      </c>
      <c r="E121" s="14" t="s">
        <v>64</v>
      </c>
    </row>
    <row r="122" spans="2:5" x14ac:dyDescent="0.35">
      <c r="B122" s="12">
        <v>120</v>
      </c>
      <c r="C122" s="13" t="s">
        <v>273</v>
      </c>
      <c r="D122" s="13" t="s">
        <v>56</v>
      </c>
      <c r="E122" s="14" t="s">
        <v>65</v>
      </c>
    </row>
    <row r="123" spans="2:5" x14ac:dyDescent="0.35">
      <c r="B123" s="12">
        <v>121</v>
      </c>
      <c r="C123" s="13" t="s">
        <v>274</v>
      </c>
      <c r="D123" s="13" t="s">
        <v>56</v>
      </c>
      <c r="E123" s="14" t="s">
        <v>66</v>
      </c>
    </row>
    <row r="124" spans="2:5" x14ac:dyDescent="0.35">
      <c r="B124" s="12">
        <v>122</v>
      </c>
      <c r="C124" s="13" t="s">
        <v>275</v>
      </c>
      <c r="D124" s="13" t="s">
        <v>56</v>
      </c>
      <c r="E124" s="14" t="s">
        <v>67</v>
      </c>
    </row>
    <row r="125" spans="2:5" x14ac:dyDescent="0.35">
      <c r="B125" s="12">
        <v>123</v>
      </c>
      <c r="C125" s="13" t="s">
        <v>276</v>
      </c>
      <c r="D125" s="13" t="s">
        <v>56</v>
      </c>
      <c r="E125" s="14" t="s">
        <v>68</v>
      </c>
    </row>
    <row r="126" spans="2:5" x14ac:dyDescent="0.35">
      <c r="B126" s="12">
        <v>124</v>
      </c>
      <c r="C126" s="13" t="s">
        <v>277</v>
      </c>
      <c r="D126" s="13" t="s">
        <v>56</v>
      </c>
      <c r="E126" s="14" t="s">
        <v>69</v>
      </c>
    </row>
    <row r="127" spans="2:5" x14ac:dyDescent="0.35">
      <c r="B127" s="12">
        <v>125</v>
      </c>
      <c r="C127" s="13" t="s">
        <v>278</v>
      </c>
      <c r="D127" s="13" t="s">
        <v>56</v>
      </c>
      <c r="E127" s="14" t="s">
        <v>70</v>
      </c>
    </row>
    <row r="128" spans="2:5" x14ac:dyDescent="0.35">
      <c r="B128" s="12">
        <v>126</v>
      </c>
      <c r="C128" s="13" t="s">
        <v>279</v>
      </c>
      <c r="D128" s="13" t="s">
        <v>56</v>
      </c>
      <c r="E128" s="14" t="s">
        <v>71</v>
      </c>
    </row>
    <row r="129" spans="2:5" x14ac:dyDescent="0.35">
      <c r="B129" s="12">
        <v>127</v>
      </c>
      <c r="C129" s="13" t="s">
        <v>280</v>
      </c>
      <c r="D129" s="13" t="s">
        <v>56</v>
      </c>
      <c r="E129" s="14" t="s">
        <v>72</v>
      </c>
    </row>
    <row r="130" spans="2:5" x14ac:dyDescent="0.35">
      <c r="B130" s="12">
        <v>128</v>
      </c>
      <c r="C130" s="13" t="s">
        <v>281</v>
      </c>
      <c r="D130" s="13" t="s">
        <v>56</v>
      </c>
      <c r="E130" s="14" t="s">
        <v>73</v>
      </c>
    </row>
    <row r="131" spans="2:5" x14ac:dyDescent="0.35">
      <c r="B131" s="12">
        <v>129</v>
      </c>
      <c r="C131" s="13" t="s">
        <v>282</v>
      </c>
      <c r="D131" s="13" t="s">
        <v>56</v>
      </c>
      <c r="E131" s="14" t="s">
        <v>74</v>
      </c>
    </row>
    <row r="132" spans="2:5" x14ac:dyDescent="0.35">
      <c r="B132" s="12">
        <v>130</v>
      </c>
      <c r="C132" s="13" t="s">
        <v>283</v>
      </c>
      <c r="D132" s="13" t="s">
        <v>56</v>
      </c>
      <c r="E132" s="14" t="s">
        <v>75</v>
      </c>
    </row>
    <row r="133" spans="2:5" x14ac:dyDescent="0.35">
      <c r="B133" s="12">
        <v>131</v>
      </c>
      <c r="C133" s="13" t="s">
        <v>284</v>
      </c>
      <c r="D133" s="13" t="s">
        <v>56</v>
      </c>
      <c r="E133" s="14" t="s">
        <v>76</v>
      </c>
    </row>
    <row r="134" spans="2:5" x14ac:dyDescent="0.35">
      <c r="B134" s="12">
        <v>132</v>
      </c>
      <c r="C134" s="13" t="s">
        <v>285</v>
      </c>
      <c r="D134" s="13" t="s">
        <v>56</v>
      </c>
      <c r="E134" s="14" t="s">
        <v>77</v>
      </c>
    </row>
    <row r="135" spans="2:5" x14ac:dyDescent="0.35">
      <c r="B135" s="12">
        <v>133</v>
      </c>
      <c r="C135" s="13" t="s">
        <v>286</v>
      </c>
      <c r="D135" s="13" t="s">
        <v>56</v>
      </c>
      <c r="E135" s="14" t="s">
        <v>78</v>
      </c>
    </row>
    <row r="136" spans="2:5" x14ac:dyDescent="0.35">
      <c r="B136" s="12">
        <v>134</v>
      </c>
      <c r="C136" s="13" t="s">
        <v>287</v>
      </c>
      <c r="D136" s="13" t="s">
        <v>56</v>
      </c>
      <c r="E136" s="14" t="s">
        <v>79</v>
      </c>
    </row>
    <row r="137" spans="2:5" x14ac:dyDescent="0.35">
      <c r="B137" s="12">
        <v>135</v>
      </c>
      <c r="C137" s="13" t="s">
        <v>288</v>
      </c>
      <c r="D137" s="13" t="s">
        <v>56</v>
      </c>
      <c r="E137" s="14" t="s">
        <v>80</v>
      </c>
    </row>
    <row r="138" spans="2:5" x14ac:dyDescent="0.35">
      <c r="B138" s="12">
        <v>136</v>
      </c>
      <c r="C138" s="13" t="s">
        <v>289</v>
      </c>
      <c r="D138" s="13" t="s">
        <v>56</v>
      </c>
      <c r="E138" s="14" t="s">
        <v>81</v>
      </c>
    </row>
    <row r="139" spans="2:5" x14ac:dyDescent="0.35">
      <c r="B139" s="12">
        <v>137</v>
      </c>
      <c r="C139" s="13" t="s">
        <v>290</v>
      </c>
      <c r="D139" s="13" t="s">
        <v>56</v>
      </c>
      <c r="E139" s="14" t="s">
        <v>82</v>
      </c>
    </row>
    <row r="140" spans="2:5" x14ac:dyDescent="0.35">
      <c r="B140" s="12">
        <v>138</v>
      </c>
      <c r="C140" s="13" t="s">
        <v>291</v>
      </c>
      <c r="D140" s="13" t="s">
        <v>56</v>
      </c>
      <c r="E140" s="14" t="s">
        <v>83</v>
      </c>
    </row>
    <row r="141" spans="2:5" x14ac:dyDescent="0.35">
      <c r="B141" s="12">
        <v>139</v>
      </c>
      <c r="C141" s="13" t="s">
        <v>292</v>
      </c>
      <c r="D141" s="13" t="s">
        <v>56</v>
      </c>
      <c r="E141" s="14" t="s">
        <v>84</v>
      </c>
    </row>
    <row r="142" spans="2:5" x14ac:dyDescent="0.35">
      <c r="B142" s="12">
        <v>140</v>
      </c>
      <c r="C142" s="13" t="s">
        <v>293</v>
      </c>
      <c r="D142" s="13" t="s">
        <v>56</v>
      </c>
      <c r="E142" s="14" t="s">
        <v>85</v>
      </c>
    </row>
    <row r="143" spans="2:5" x14ac:dyDescent="0.35">
      <c r="B143" s="12">
        <v>141</v>
      </c>
      <c r="C143" s="13" t="s">
        <v>294</v>
      </c>
      <c r="D143" s="13" t="s">
        <v>56</v>
      </c>
      <c r="E143" s="14" t="s">
        <v>86</v>
      </c>
    </row>
    <row r="144" spans="2:5" x14ac:dyDescent="0.35">
      <c r="B144" s="12">
        <v>142</v>
      </c>
      <c r="C144" s="13" t="s">
        <v>295</v>
      </c>
      <c r="D144" s="13" t="s">
        <v>56</v>
      </c>
      <c r="E144" s="14" t="s">
        <v>87</v>
      </c>
    </row>
    <row r="145" spans="2:5" x14ac:dyDescent="0.35">
      <c r="B145" s="12">
        <v>143</v>
      </c>
      <c r="C145" s="13" t="s">
        <v>296</v>
      </c>
      <c r="D145" s="13" t="s">
        <v>56</v>
      </c>
      <c r="E145" s="14" t="s">
        <v>88</v>
      </c>
    </row>
    <row r="146" spans="2:5" x14ac:dyDescent="0.35">
      <c r="B146" s="12">
        <v>144</v>
      </c>
      <c r="C146" s="13" t="s">
        <v>297</v>
      </c>
      <c r="D146" s="13" t="s">
        <v>56</v>
      </c>
      <c r="E146" s="14" t="s">
        <v>89</v>
      </c>
    </row>
    <row r="147" spans="2:5" x14ac:dyDescent="0.35">
      <c r="B147" s="12">
        <v>145</v>
      </c>
      <c r="C147" s="13" t="s">
        <v>298</v>
      </c>
      <c r="D147" s="13" t="s">
        <v>56</v>
      </c>
      <c r="E147" s="14" t="s">
        <v>90</v>
      </c>
    </row>
    <row r="148" spans="2:5" x14ac:dyDescent="0.35">
      <c r="B148" s="12">
        <v>146</v>
      </c>
      <c r="C148" s="13" t="s">
        <v>299</v>
      </c>
      <c r="D148" s="13" t="s">
        <v>56</v>
      </c>
      <c r="E148" s="14" t="s">
        <v>91</v>
      </c>
    </row>
    <row r="149" spans="2:5" x14ac:dyDescent="0.35">
      <c r="B149" s="12">
        <v>147</v>
      </c>
      <c r="C149" s="13" t="s">
        <v>300</v>
      </c>
      <c r="D149" s="13" t="s">
        <v>56</v>
      </c>
      <c r="E149" s="14" t="s">
        <v>92</v>
      </c>
    </row>
    <row r="150" spans="2:5" x14ac:dyDescent="0.35">
      <c r="B150" s="12">
        <v>148</v>
      </c>
      <c r="C150" s="13" t="s">
        <v>301</v>
      </c>
      <c r="D150" s="13" t="s">
        <v>56</v>
      </c>
      <c r="E150" s="14" t="s">
        <v>93</v>
      </c>
    </row>
    <row r="151" spans="2:5" x14ac:dyDescent="0.35">
      <c r="B151" s="12">
        <v>149</v>
      </c>
      <c r="C151" s="13" t="s">
        <v>302</v>
      </c>
      <c r="D151" s="13" t="s">
        <v>60</v>
      </c>
      <c r="E151" s="14" t="s">
        <v>303</v>
      </c>
    </row>
    <row r="152" spans="2:5" x14ac:dyDescent="0.35">
      <c r="B152" s="12">
        <v>150</v>
      </c>
      <c r="C152" s="13" t="s">
        <v>304</v>
      </c>
      <c r="D152" s="13" t="s">
        <v>60</v>
      </c>
      <c r="E152" s="14" t="s">
        <v>305</v>
      </c>
    </row>
    <row r="153" spans="2:5" x14ac:dyDescent="0.35">
      <c r="B153" s="12">
        <v>151</v>
      </c>
      <c r="C153" s="13" t="s">
        <v>306</v>
      </c>
      <c r="D153" s="13" t="s">
        <v>60</v>
      </c>
      <c r="E153" s="14" t="s">
        <v>307</v>
      </c>
    </row>
    <row r="154" spans="2:5" x14ac:dyDescent="0.35">
      <c r="B154" s="12">
        <v>152</v>
      </c>
      <c r="C154" s="13" t="s">
        <v>308</v>
      </c>
      <c r="D154" s="13" t="s">
        <v>60</v>
      </c>
      <c r="E154" s="14" t="s">
        <v>309</v>
      </c>
    </row>
    <row r="155" spans="2:5" x14ac:dyDescent="0.35">
      <c r="B155" s="12">
        <v>153</v>
      </c>
      <c r="C155" s="13" t="s">
        <v>310</v>
      </c>
      <c r="D155" s="13" t="s">
        <v>60</v>
      </c>
      <c r="E155" s="14" t="s">
        <v>311</v>
      </c>
    </row>
    <row r="156" spans="2:5" x14ac:dyDescent="0.35">
      <c r="B156" s="12">
        <v>154</v>
      </c>
      <c r="C156" s="13" t="s">
        <v>312</v>
      </c>
      <c r="D156" s="13" t="s">
        <v>60</v>
      </c>
      <c r="E156" s="14" t="s">
        <v>313</v>
      </c>
    </row>
    <row r="157" spans="2:5" x14ac:dyDescent="0.35">
      <c r="B157" s="12">
        <v>155</v>
      </c>
      <c r="C157" s="13" t="s">
        <v>314</v>
      </c>
      <c r="D157" s="13" t="s">
        <v>60</v>
      </c>
      <c r="E157" s="14" t="s">
        <v>315</v>
      </c>
    </row>
    <row r="158" spans="2:5" x14ac:dyDescent="0.35">
      <c r="B158" s="12">
        <v>156</v>
      </c>
      <c r="C158" s="13" t="s">
        <v>316</v>
      </c>
      <c r="D158" s="13" t="s">
        <v>60</v>
      </c>
      <c r="E158" s="14" t="s">
        <v>317</v>
      </c>
    </row>
    <row r="159" spans="2:5" x14ac:dyDescent="0.35">
      <c r="B159" s="12">
        <v>157</v>
      </c>
      <c r="C159" s="13" t="s">
        <v>318</v>
      </c>
      <c r="D159" s="13" t="s">
        <v>60</v>
      </c>
      <c r="E159" s="14" t="s">
        <v>319</v>
      </c>
    </row>
    <row r="160" spans="2:5" x14ac:dyDescent="0.35">
      <c r="B160" s="12">
        <v>158</v>
      </c>
      <c r="C160" s="13" t="s">
        <v>320</v>
      </c>
      <c r="D160" s="13" t="s">
        <v>60</v>
      </c>
      <c r="E160" s="14" t="s">
        <v>321</v>
      </c>
    </row>
    <row r="161" spans="2:5" x14ac:dyDescent="0.35">
      <c r="B161" s="12">
        <v>159</v>
      </c>
      <c r="C161" s="13" t="s">
        <v>322</v>
      </c>
      <c r="D161" s="13" t="s">
        <v>60</v>
      </c>
      <c r="E161" s="14" t="s">
        <v>323</v>
      </c>
    </row>
    <row r="162" spans="2:5" x14ac:dyDescent="0.35">
      <c r="B162" s="12">
        <v>160</v>
      </c>
      <c r="C162" s="13" t="s">
        <v>324</v>
      </c>
      <c r="D162" s="13" t="s">
        <v>60</v>
      </c>
      <c r="E162" s="14" t="s">
        <v>325</v>
      </c>
    </row>
    <row r="163" spans="2:5" x14ac:dyDescent="0.35">
      <c r="B163" s="12">
        <v>161</v>
      </c>
      <c r="C163" s="13" t="s">
        <v>326</v>
      </c>
      <c r="D163" s="13" t="s">
        <v>60</v>
      </c>
      <c r="E163" s="14" t="s">
        <v>327</v>
      </c>
    </row>
    <row r="164" spans="2:5" x14ac:dyDescent="0.35">
      <c r="B164" s="12">
        <v>162</v>
      </c>
      <c r="C164" s="13" t="s">
        <v>328</v>
      </c>
      <c r="D164" s="13" t="s">
        <v>60</v>
      </c>
      <c r="E164" s="14" t="s">
        <v>329</v>
      </c>
    </row>
    <row r="165" spans="2:5" x14ac:dyDescent="0.35">
      <c r="B165" s="12">
        <v>163</v>
      </c>
      <c r="C165" s="13" t="s">
        <v>330</v>
      </c>
      <c r="D165" s="13" t="s">
        <v>60</v>
      </c>
      <c r="E165" s="14" t="s">
        <v>331</v>
      </c>
    </row>
    <row r="166" spans="2:5" x14ac:dyDescent="0.35">
      <c r="B166" s="12">
        <v>164</v>
      </c>
      <c r="C166" s="13" t="s">
        <v>332</v>
      </c>
      <c r="D166" s="13" t="s">
        <v>60</v>
      </c>
      <c r="E166" s="14" t="s">
        <v>333</v>
      </c>
    </row>
    <row r="167" spans="2:5" x14ac:dyDescent="0.35">
      <c r="B167" s="12">
        <v>165</v>
      </c>
      <c r="C167" s="13" t="s">
        <v>334</v>
      </c>
      <c r="D167" s="13" t="s">
        <v>60</v>
      </c>
      <c r="E167" s="14" t="s">
        <v>335</v>
      </c>
    </row>
    <row r="168" spans="2:5" x14ac:dyDescent="0.35">
      <c r="B168" s="12">
        <v>166</v>
      </c>
      <c r="C168" s="13" t="s">
        <v>336</v>
      </c>
      <c r="D168" s="13" t="s">
        <v>60</v>
      </c>
      <c r="E168" s="14" t="s">
        <v>337</v>
      </c>
    </row>
    <row r="169" spans="2:5" x14ac:dyDescent="0.35">
      <c r="B169" s="12">
        <v>167</v>
      </c>
      <c r="C169" s="13" t="s">
        <v>338</v>
      </c>
      <c r="D169" s="13" t="s">
        <v>60</v>
      </c>
      <c r="E169" s="14" t="s">
        <v>339</v>
      </c>
    </row>
    <row r="170" spans="2:5" x14ac:dyDescent="0.35">
      <c r="B170" s="12">
        <v>168</v>
      </c>
      <c r="C170" s="13" t="s">
        <v>340</v>
      </c>
      <c r="D170" s="13" t="s">
        <v>60</v>
      </c>
      <c r="E170" s="14" t="s">
        <v>341</v>
      </c>
    </row>
    <row r="171" spans="2:5" x14ac:dyDescent="0.35">
      <c r="B171" s="12">
        <v>169</v>
      </c>
      <c r="C171" s="13" t="s">
        <v>342</v>
      </c>
      <c r="D171" s="13" t="s">
        <v>60</v>
      </c>
      <c r="E171" s="14" t="s">
        <v>343</v>
      </c>
    </row>
    <row r="172" spans="2:5" x14ac:dyDescent="0.35">
      <c r="B172" s="12">
        <v>170</v>
      </c>
      <c r="C172" s="13" t="s">
        <v>344</v>
      </c>
      <c r="D172" s="13" t="s">
        <v>60</v>
      </c>
      <c r="E172" s="14" t="s">
        <v>345</v>
      </c>
    </row>
    <row r="173" spans="2:5" x14ac:dyDescent="0.35">
      <c r="B173" s="12">
        <v>171</v>
      </c>
      <c r="C173" s="13" t="s">
        <v>346</v>
      </c>
      <c r="D173" s="13" t="s">
        <v>60</v>
      </c>
      <c r="E173" s="14" t="s">
        <v>347</v>
      </c>
    </row>
    <row r="174" spans="2:5" x14ac:dyDescent="0.35">
      <c r="B174" s="12">
        <v>172</v>
      </c>
      <c r="C174" s="13" t="s">
        <v>348</v>
      </c>
      <c r="D174" s="13" t="s">
        <v>60</v>
      </c>
      <c r="E174" s="14" t="s">
        <v>349</v>
      </c>
    </row>
    <row r="175" spans="2:5" x14ac:dyDescent="0.35">
      <c r="B175" s="12">
        <v>173</v>
      </c>
      <c r="C175" s="13" t="s">
        <v>350</v>
      </c>
      <c r="D175" s="13" t="s">
        <v>60</v>
      </c>
      <c r="E175" s="14" t="s">
        <v>351</v>
      </c>
    </row>
    <row r="176" spans="2:5" x14ac:dyDescent="0.35">
      <c r="B176" s="12">
        <v>174</v>
      </c>
      <c r="C176" s="13" t="s">
        <v>352</v>
      </c>
      <c r="D176" s="13" t="s">
        <v>60</v>
      </c>
      <c r="E176" s="14" t="s">
        <v>353</v>
      </c>
    </row>
    <row r="177" spans="2:5" x14ac:dyDescent="0.35">
      <c r="B177" s="12">
        <v>175</v>
      </c>
      <c r="C177" s="13" t="s">
        <v>354</v>
      </c>
      <c r="D177" s="13" t="s">
        <v>60</v>
      </c>
      <c r="E177" s="14" t="s">
        <v>355</v>
      </c>
    </row>
    <row r="178" spans="2:5" x14ac:dyDescent="0.35">
      <c r="B178" s="12">
        <v>176</v>
      </c>
      <c r="C178" s="13" t="s">
        <v>356</v>
      </c>
      <c r="D178" s="13" t="s">
        <v>60</v>
      </c>
      <c r="E178" s="14" t="s">
        <v>357</v>
      </c>
    </row>
    <row r="179" spans="2:5" x14ac:dyDescent="0.35">
      <c r="B179" s="12">
        <v>177</v>
      </c>
      <c r="C179" s="13" t="s">
        <v>358</v>
      </c>
      <c r="D179" s="13" t="s">
        <v>60</v>
      </c>
      <c r="E179" s="14" t="s">
        <v>359</v>
      </c>
    </row>
    <row r="180" spans="2:5" x14ac:dyDescent="0.35">
      <c r="B180" s="12">
        <v>178</v>
      </c>
      <c r="C180" s="13" t="s">
        <v>360</v>
      </c>
      <c r="D180" s="13" t="s">
        <v>60</v>
      </c>
      <c r="E180" s="14" t="s">
        <v>361</v>
      </c>
    </row>
    <row r="181" spans="2:5" x14ac:dyDescent="0.35">
      <c r="B181" s="12">
        <v>179</v>
      </c>
      <c r="C181" s="13" t="s">
        <v>362</v>
      </c>
      <c r="D181" s="13" t="s">
        <v>60</v>
      </c>
      <c r="E181" s="14" t="s">
        <v>363</v>
      </c>
    </row>
    <row r="182" spans="2:5" x14ac:dyDescent="0.35">
      <c r="B182" s="12">
        <v>180</v>
      </c>
      <c r="C182" s="13" t="s">
        <v>364</v>
      </c>
      <c r="D182" s="13" t="s">
        <v>60</v>
      </c>
      <c r="E182" s="14" t="s">
        <v>365</v>
      </c>
    </row>
    <row r="183" spans="2:5" x14ac:dyDescent="0.35">
      <c r="B183" s="12">
        <v>181</v>
      </c>
      <c r="C183" s="13" t="s">
        <v>366</v>
      </c>
      <c r="D183" s="13" t="s">
        <v>60</v>
      </c>
      <c r="E183" s="14" t="s">
        <v>367</v>
      </c>
    </row>
    <row r="184" spans="2:5" x14ac:dyDescent="0.35">
      <c r="B184" s="12">
        <v>182</v>
      </c>
      <c r="C184" s="13" t="s">
        <v>368</v>
      </c>
      <c r="D184" s="13" t="s">
        <v>60</v>
      </c>
      <c r="E184" s="14" t="s">
        <v>369</v>
      </c>
    </row>
    <row r="185" spans="2:5" x14ac:dyDescent="0.35">
      <c r="B185" s="12">
        <v>183</v>
      </c>
      <c r="C185" s="13" t="s">
        <v>370</v>
      </c>
      <c r="D185" s="13" t="s">
        <v>60</v>
      </c>
      <c r="E185" s="14" t="s">
        <v>371</v>
      </c>
    </row>
    <row r="186" spans="2:5" x14ac:dyDescent="0.35">
      <c r="B186" s="12">
        <v>184</v>
      </c>
      <c r="C186" s="13" t="s">
        <v>372</v>
      </c>
      <c r="D186" s="13" t="s">
        <v>60</v>
      </c>
      <c r="E186" s="14" t="s">
        <v>373</v>
      </c>
    </row>
    <row r="187" spans="2:5" x14ac:dyDescent="0.35">
      <c r="B187" s="12">
        <v>185</v>
      </c>
      <c r="C187" s="13" t="s">
        <v>374</v>
      </c>
      <c r="D187" s="13" t="s">
        <v>60</v>
      </c>
      <c r="E187" s="14" t="s">
        <v>375</v>
      </c>
    </row>
    <row r="188" spans="2:5" x14ac:dyDescent="0.35">
      <c r="B188" s="12">
        <v>186</v>
      </c>
      <c r="C188" s="13" t="s">
        <v>376</v>
      </c>
      <c r="D188" s="13" t="s">
        <v>60</v>
      </c>
      <c r="E188" s="14" t="s">
        <v>377</v>
      </c>
    </row>
    <row r="189" spans="2:5" x14ac:dyDescent="0.35">
      <c r="B189" s="12">
        <v>187</v>
      </c>
      <c r="C189" s="13" t="s">
        <v>378</v>
      </c>
      <c r="D189" s="13" t="s">
        <v>60</v>
      </c>
      <c r="E189" s="14" t="s">
        <v>379</v>
      </c>
    </row>
    <row r="190" spans="2:5" x14ac:dyDescent="0.35">
      <c r="B190" s="12">
        <v>188</v>
      </c>
      <c r="C190" s="13" t="s">
        <v>380</v>
      </c>
      <c r="D190" s="13" t="s">
        <v>60</v>
      </c>
      <c r="E190" s="14" t="s">
        <v>381</v>
      </c>
    </row>
    <row r="191" spans="2:5" x14ac:dyDescent="0.35">
      <c r="B191" s="12">
        <v>189</v>
      </c>
      <c r="C191" s="13" t="s">
        <v>382</v>
      </c>
      <c r="D191" s="13" t="s">
        <v>60</v>
      </c>
      <c r="E191" s="14" t="s">
        <v>383</v>
      </c>
    </row>
    <row r="192" spans="2:5" x14ac:dyDescent="0.35">
      <c r="B192" s="12">
        <v>190</v>
      </c>
      <c r="C192" s="13" t="s">
        <v>384</v>
      </c>
      <c r="D192" s="13" t="s">
        <v>60</v>
      </c>
      <c r="E192" s="14" t="s">
        <v>385</v>
      </c>
    </row>
    <row r="193" spans="2:5" x14ac:dyDescent="0.35">
      <c r="B193" s="12">
        <v>191</v>
      </c>
      <c r="C193" s="13" t="s">
        <v>386</v>
      </c>
      <c r="D193" s="13" t="s">
        <v>60</v>
      </c>
      <c r="E193" s="14" t="s">
        <v>387</v>
      </c>
    </row>
    <row r="194" spans="2:5" x14ac:dyDescent="0.35">
      <c r="B194" s="12">
        <v>192</v>
      </c>
      <c r="C194" s="13" t="s">
        <v>388</v>
      </c>
      <c r="D194" s="13" t="s">
        <v>60</v>
      </c>
      <c r="E194" s="14" t="s">
        <v>389</v>
      </c>
    </row>
    <row r="195" spans="2:5" x14ac:dyDescent="0.35">
      <c r="B195" s="12">
        <v>193</v>
      </c>
      <c r="C195" s="13" t="s">
        <v>390</v>
      </c>
      <c r="D195" s="13" t="s">
        <v>94</v>
      </c>
      <c r="E195" s="14" t="s">
        <v>391</v>
      </c>
    </row>
    <row r="196" spans="2:5" x14ac:dyDescent="0.35">
      <c r="B196" s="12">
        <v>194</v>
      </c>
      <c r="C196" s="13" t="s">
        <v>392</v>
      </c>
      <c r="D196" s="13" t="s">
        <v>94</v>
      </c>
      <c r="E196" s="14" t="s">
        <v>393</v>
      </c>
    </row>
    <row r="197" spans="2:5" x14ac:dyDescent="0.35">
      <c r="B197" s="12">
        <v>195</v>
      </c>
      <c r="C197" s="13" t="s">
        <v>394</v>
      </c>
      <c r="D197" s="13" t="s">
        <v>94</v>
      </c>
      <c r="E197" s="14" t="s">
        <v>395</v>
      </c>
    </row>
    <row r="198" spans="2:5" x14ac:dyDescent="0.35">
      <c r="B198" s="12">
        <v>196</v>
      </c>
      <c r="C198" s="13" t="s">
        <v>396</v>
      </c>
      <c r="D198" s="13" t="s">
        <v>94</v>
      </c>
      <c r="E198" s="14" t="s">
        <v>397</v>
      </c>
    </row>
    <row r="199" spans="2:5" x14ac:dyDescent="0.35">
      <c r="B199" s="12">
        <v>197</v>
      </c>
      <c r="C199" s="13" t="s">
        <v>398</v>
      </c>
      <c r="D199" s="13" t="s">
        <v>94</v>
      </c>
      <c r="E199" s="14" t="s">
        <v>399</v>
      </c>
    </row>
    <row r="200" spans="2:5" x14ac:dyDescent="0.35">
      <c r="B200" s="12">
        <v>198</v>
      </c>
      <c r="C200" s="13" t="s">
        <v>400</v>
      </c>
      <c r="D200" s="13" t="s">
        <v>94</v>
      </c>
      <c r="E200" s="14" t="s">
        <v>401</v>
      </c>
    </row>
    <row r="201" spans="2:5" x14ac:dyDescent="0.35">
      <c r="B201" s="12">
        <v>199</v>
      </c>
      <c r="C201" s="13" t="s">
        <v>95</v>
      </c>
      <c r="D201" s="13" t="s">
        <v>94</v>
      </c>
      <c r="E201" s="14" t="s">
        <v>96</v>
      </c>
    </row>
    <row r="202" spans="2:5" x14ac:dyDescent="0.35">
      <c r="B202" s="12">
        <v>200</v>
      </c>
      <c r="C202" s="13" t="s">
        <v>402</v>
      </c>
      <c r="D202" s="13" t="s">
        <v>97</v>
      </c>
      <c r="E202" s="14" t="s">
        <v>403</v>
      </c>
    </row>
    <row r="203" spans="2:5" x14ac:dyDescent="0.35">
      <c r="B203" s="12">
        <v>201</v>
      </c>
      <c r="C203" s="13" t="s">
        <v>404</v>
      </c>
      <c r="D203" s="13" t="s">
        <v>97</v>
      </c>
      <c r="E203" s="14" t="s">
        <v>405</v>
      </c>
    </row>
    <row r="204" spans="2:5" x14ac:dyDescent="0.35">
      <c r="B204" s="12">
        <v>202</v>
      </c>
      <c r="C204" s="13" t="s">
        <v>406</v>
      </c>
      <c r="D204" s="13" t="s">
        <v>97</v>
      </c>
      <c r="E204" s="14" t="s">
        <v>407</v>
      </c>
    </row>
    <row r="205" spans="2:5" x14ac:dyDescent="0.35">
      <c r="B205" s="12">
        <v>203</v>
      </c>
      <c r="C205" s="13" t="s">
        <v>408</v>
      </c>
      <c r="D205" s="13" t="s">
        <v>97</v>
      </c>
      <c r="E205" s="14" t="s">
        <v>409</v>
      </c>
    </row>
    <row r="206" spans="2:5" x14ac:dyDescent="0.35">
      <c r="B206" s="12">
        <v>204</v>
      </c>
      <c r="C206" s="13" t="s">
        <v>410</v>
      </c>
      <c r="D206" s="13" t="s">
        <v>97</v>
      </c>
      <c r="E206" s="14" t="s">
        <v>411</v>
      </c>
    </row>
    <row r="207" spans="2:5" x14ac:dyDescent="0.35">
      <c r="B207" s="12">
        <v>205</v>
      </c>
      <c r="C207" s="13" t="s">
        <v>412</v>
      </c>
      <c r="D207" s="13" t="s">
        <v>97</v>
      </c>
      <c r="E207" s="14" t="s">
        <v>413</v>
      </c>
    </row>
    <row r="208" spans="2:5" x14ac:dyDescent="0.35">
      <c r="B208" s="12">
        <v>206</v>
      </c>
      <c r="C208" s="13" t="s">
        <v>414</v>
      </c>
      <c r="D208" s="13" t="s">
        <v>97</v>
      </c>
      <c r="E208" s="14" t="s">
        <v>415</v>
      </c>
    </row>
    <row r="209" spans="2:5" x14ac:dyDescent="0.35">
      <c r="B209" s="12">
        <v>207</v>
      </c>
      <c r="C209" s="13" t="s">
        <v>416</v>
      </c>
      <c r="D209" s="13" t="s">
        <v>97</v>
      </c>
      <c r="E209" s="14" t="str" cm="1">
        <f t="array" ref="E209:E215">SUBSTITUTE(E216:E222,"over past 2 years","in the prior year")</f>
        <v>Number of first round picks in the prior year</v>
      </c>
    </row>
    <row r="210" spans="2:5" x14ac:dyDescent="0.35">
      <c r="B210" s="12">
        <v>208</v>
      </c>
      <c r="C210" s="13" t="s">
        <v>417</v>
      </c>
      <c r="D210" s="13" t="s">
        <v>97</v>
      </c>
      <c r="E210" s="14" t="str">
        <v>Number of second round picks in the prior year</v>
      </c>
    </row>
    <row r="211" spans="2:5" x14ac:dyDescent="0.35">
      <c r="B211" s="12">
        <v>209</v>
      </c>
      <c r="C211" s="13" t="s">
        <v>418</v>
      </c>
      <c r="D211" s="13" t="s">
        <v>97</v>
      </c>
      <c r="E211" s="14" t="str">
        <v>Number of third round picks in the prior year</v>
      </c>
    </row>
    <row r="212" spans="2:5" x14ac:dyDescent="0.35">
      <c r="B212" s="12">
        <v>210</v>
      </c>
      <c r="C212" s="13" t="s">
        <v>419</v>
      </c>
      <c r="D212" s="13" t="s">
        <v>97</v>
      </c>
      <c r="E212" s="14" t="str">
        <v>Number of fourth round picks in the prior year</v>
      </c>
    </row>
    <row r="213" spans="2:5" x14ac:dyDescent="0.35">
      <c r="B213" s="12">
        <v>211</v>
      </c>
      <c r="C213" s="13" t="s">
        <v>420</v>
      </c>
      <c r="D213" s="13" t="s">
        <v>97</v>
      </c>
      <c r="E213" s="14" t="str">
        <v>Number of fifth round picks in the prior year</v>
      </c>
    </row>
    <row r="214" spans="2:5" x14ac:dyDescent="0.35">
      <c r="B214" s="12">
        <v>212</v>
      </c>
      <c r="C214" s="13" t="s">
        <v>421</v>
      </c>
      <c r="D214" s="13" t="s">
        <v>97</v>
      </c>
      <c r="E214" s="14" t="str">
        <v>Number of sixth round picks in the prior year</v>
      </c>
    </row>
    <row r="215" spans="2:5" x14ac:dyDescent="0.35">
      <c r="B215" s="12">
        <v>213</v>
      </c>
      <c r="C215" s="13" t="s">
        <v>422</v>
      </c>
      <c r="D215" s="13" t="s">
        <v>97</v>
      </c>
      <c r="E215" s="14" t="str">
        <v>Number of seventh+ round picks in the prior year</v>
      </c>
    </row>
    <row r="216" spans="2:5" x14ac:dyDescent="0.35">
      <c r="B216" s="12">
        <v>214</v>
      </c>
      <c r="C216" s="13" t="s">
        <v>423</v>
      </c>
      <c r="D216" s="13" t="s">
        <v>97</v>
      </c>
      <c r="E216" s="14" t="s">
        <v>716</v>
      </c>
    </row>
    <row r="217" spans="2:5" x14ac:dyDescent="0.35">
      <c r="B217" s="12">
        <v>215</v>
      </c>
      <c r="C217" s="13" t="s">
        <v>424</v>
      </c>
      <c r="D217" s="13" t="s">
        <v>97</v>
      </c>
      <c r="E217" s="14" t="s">
        <v>717</v>
      </c>
    </row>
    <row r="218" spans="2:5" x14ac:dyDescent="0.35">
      <c r="B218" s="12">
        <v>216</v>
      </c>
      <c r="C218" s="13" t="s">
        <v>425</v>
      </c>
      <c r="D218" s="13" t="s">
        <v>97</v>
      </c>
      <c r="E218" s="14" t="s">
        <v>718</v>
      </c>
    </row>
    <row r="219" spans="2:5" x14ac:dyDescent="0.35">
      <c r="B219" s="12">
        <v>217</v>
      </c>
      <c r="C219" s="13" t="s">
        <v>426</v>
      </c>
      <c r="D219" s="13" t="s">
        <v>97</v>
      </c>
      <c r="E219" s="14" t="s">
        <v>719</v>
      </c>
    </row>
    <row r="220" spans="2:5" x14ac:dyDescent="0.35">
      <c r="B220" s="12">
        <v>218</v>
      </c>
      <c r="C220" s="13" t="s">
        <v>427</v>
      </c>
      <c r="D220" s="13" t="s">
        <v>97</v>
      </c>
      <c r="E220" s="14" t="s">
        <v>720</v>
      </c>
    </row>
    <row r="221" spans="2:5" x14ac:dyDescent="0.35">
      <c r="B221" s="12">
        <v>219</v>
      </c>
      <c r="C221" s="13" t="s">
        <v>428</v>
      </c>
      <c r="D221" s="13" t="s">
        <v>97</v>
      </c>
      <c r="E221" s="14" t="s">
        <v>721</v>
      </c>
    </row>
    <row r="222" spans="2:5" x14ac:dyDescent="0.35">
      <c r="B222" s="12">
        <v>220</v>
      </c>
      <c r="C222" s="13" t="s">
        <v>429</v>
      </c>
      <c r="D222" s="13" t="s">
        <v>97</v>
      </c>
      <c r="E222" s="14" t="s">
        <v>722</v>
      </c>
    </row>
    <row r="223" spans="2:5" x14ac:dyDescent="0.35">
      <c r="B223" s="12">
        <v>221</v>
      </c>
      <c r="C223" s="13" t="s">
        <v>430</v>
      </c>
      <c r="D223" s="13" t="s">
        <v>97</v>
      </c>
      <c r="E223" s="14" t="s">
        <v>723</v>
      </c>
    </row>
    <row r="224" spans="2:5" x14ac:dyDescent="0.35">
      <c r="B224" s="12">
        <v>222</v>
      </c>
      <c r="C224" s="13" t="s">
        <v>431</v>
      </c>
      <c r="D224" s="13" t="s">
        <v>97</v>
      </c>
      <c r="E224" s="14" t="s">
        <v>724</v>
      </c>
    </row>
    <row r="225" spans="2:5" x14ac:dyDescent="0.35">
      <c r="B225" s="12">
        <v>223</v>
      </c>
      <c r="C225" s="13" t="s">
        <v>432</v>
      </c>
      <c r="D225" s="13" t="s">
        <v>97</v>
      </c>
      <c r="E225" s="14" t="s">
        <v>725</v>
      </c>
    </row>
    <row r="226" spans="2:5" x14ac:dyDescent="0.35">
      <c r="B226" s="12">
        <v>224</v>
      </c>
      <c r="C226" s="13" t="s">
        <v>433</v>
      </c>
      <c r="D226" s="13" t="s">
        <v>97</v>
      </c>
      <c r="E226" s="14" t="s">
        <v>726</v>
      </c>
    </row>
    <row r="227" spans="2:5" x14ac:dyDescent="0.35">
      <c r="B227" s="12">
        <v>225</v>
      </c>
      <c r="C227" s="13" t="s">
        <v>434</v>
      </c>
      <c r="D227" s="13" t="s">
        <v>97</v>
      </c>
      <c r="E227" s="14" t="s">
        <v>727</v>
      </c>
    </row>
    <row r="228" spans="2:5" x14ac:dyDescent="0.35">
      <c r="B228" s="12">
        <v>226</v>
      </c>
      <c r="C228" s="13" t="s">
        <v>435</v>
      </c>
      <c r="D228" s="13" t="s">
        <v>97</v>
      </c>
      <c r="E228" s="14" t="s">
        <v>728</v>
      </c>
    </row>
    <row r="229" spans="2:5" x14ac:dyDescent="0.35">
      <c r="B229" s="12">
        <v>227</v>
      </c>
      <c r="C229" s="13" t="s">
        <v>436</v>
      </c>
      <c r="D229" s="13" t="s">
        <v>97</v>
      </c>
      <c r="E229" s="14" t="s">
        <v>729</v>
      </c>
    </row>
    <row r="230" spans="2:5" x14ac:dyDescent="0.35">
      <c r="B230" s="12">
        <v>228</v>
      </c>
      <c r="C230" s="13" t="s">
        <v>437</v>
      </c>
      <c r="D230" s="13" t="s">
        <v>97</v>
      </c>
      <c r="E230" s="14" t="s">
        <v>730</v>
      </c>
    </row>
    <row r="231" spans="2:5" x14ac:dyDescent="0.35">
      <c r="B231" s="12">
        <v>229</v>
      </c>
      <c r="C231" s="13" t="s">
        <v>438</v>
      </c>
      <c r="D231" s="13" t="s">
        <v>98</v>
      </c>
      <c r="E231" s="14" t="s">
        <v>439</v>
      </c>
    </row>
    <row r="232" spans="2:5" x14ac:dyDescent="0.35">
      <c r="B232" s="12">
        <v>230</v>
      </c>
      <c r="C232" s="13" t="s">
        <v>440</v>
      </c>
      <c r="D232" s="13" t="s">
        <v>98</v>
      </c>
      <c r="E232" s="14" t="s">
        <v>441</v>
      </c>
    </row>
    <row r="233" spans="2:5" x14ac:dyDescent="0.35">
      <c r="B233" s="12">
        <v>231</v>
      </c>
      <c r="C233" s="13" t="s">
        <v>442</v>
      </c>
      <c r="D233" s="13" t="s">
        <v>98</v>
      </c>
      <c r="E233" s="14" t="s">
        <v>443</v>
      </c>
    </row>
    <row r="234" spans="2:5" x14ac:dyDescent="0.35">
      <c r="B234" s="12">
        <v>232</v>
      </c>
      <c r="C234" s="13" t="s">
        <v>444</v>
      </c>
      <c r="D234" s="13" t="s">
        <v>98</v>
      </c>
      <c r="E234" s="14" t="s">
        <v>445</v>
      </c>
    </row>
    <row r="235" spans="2:5" x14ac:dyDescent="0.35">
      <c r="B235" s="12">
        <v>233</v>
      </c>
      <c r="C235" s="13" t="s">
        <v>446</v>
      </c>
      <c r="D235" s="13" t="s">
        <v>98</v>
      </c>
      <c r="E235" s="14" t="s">
        <v>447</v>
      </c>
    </row>
    <row r="236" spans="2:5" x14ac:dyDescent="0.35">
      <c r="B236" s="12">
        <v>234</v>
      </c>
      <c r="C236" s="13" t="s">
        <v>448</v>
      </c>
      <c r="D236" s="13" t="s">
        <v>98</v>
      </c>
      <c r="E236" s="14" t="s">
        <v>449</v>
      </c>
    </row>
    <row r="237" spans="2:5" x14ac:dyDescent="0.35">
      <c r="B237" s="12">
        <v>235</v>
      </c>
      <c r="C237" s="13" t="s">
        <v>450</v>
      </c>
      <c r="D237" s="13" t="s">
        <v>98</v>
      </c>
      <c r="E237" s="14" t="s">
        <v>451</v>
      </c>
    </row>
    <row r="238" spans="2:5" x14ac:dyDescent="0.35">
      <c r="B238" s="12">
        <v>236</v>
      </c>
      <c r="C238" s="13" t="s">
        <v>452</v>
      </c>
      <c r="D238" s="13" t="s">
        <v>100</v>
      </c>
      <c r="E238" s="14" t="s">
        <v>453</v>
      </c>
    </row>
    <row r="239" spans="2:5" x14ac:dyDescent="0.35">
      <c r="B239" s="12">
        <v>237</v>
      </c>
      <c r="C239" s="13" t="s">
        <v>454</v>
      </c>
      <c r="D239" s="13" t="s">
        <v>100</v>
      </c>
      <c r="E239" s="14" t="s">
        <v>455</v>
      </c>
    </row>
    <row r="240" spans="2:5" x14ac:dyDescent="0.35">
      <c r="B240" s="12">
        <v>238</v>
      </c>
      <c r="C240" s="13" t="s">
        <v>456</v>
      </c>
      <c r="D240" s="13" t="s">
        <v>100</v>
      </c>
      <c r="E240" s="14" t="s">
        <v>457</v>
      </c>
    </row>
    <row r="241" spans="2:5" x14ac:dyDescent="0.35">
      <c r="B241" s="12">
        <v>239</v>
      </c>
      <c r="C241" s="13" t="s">
        <v>458</v>
      </c>
      <c r="D241" s="13" t="s">
        <v>100</v>
      </c>
      <c r="E241" s="14" t="s">
        <v>459</v>
      </c>
    </row>
    <row r="242" spans="2:5" x14ac:dyDescent="0.35">
      <c r="B242" s="12">
        <v>240</v>
      </c>
      <c r="C242" s="13" t="s">
        <v>460</v>
      </c>
      <c r="D242" s="13" t="s">
        <v>100</v>
      </c>
      <c r="E242" s="14" t="s">
        <v>461</v>
      </c>
    </row>
    <row r="243" spans="2:5" x14ac:dyDescent="0.35">
      <c r="B243" s="12">
        <v>241</v>
      </c>
      <c r="C243" s="13" t="s">
        <v>462</v>
      </c>
      <c r="D243" s="13" t="s">
        <v>100</v>
      </c>
      <c r="E243" s="14" t="s">
        <v>463</v>
      </c>
    </row>
    <row r="244" spans="2:5" x14ac:dyDescent="0.35">
      <c r="B244" s="12">
        <v>242</v>
      </c>
      <c r="C244" s="13" t="s">
        <v>464</v>
      </c>
      <c r="D244" s="13" t="s">
        <v>100</v>
      </c>
      <c r="E244" s="14" t="s">
        <v>465</v>
      </c>
    </row>
    <row r="245" spans="2:5" x14ac:dyDescent="0.35">
      <c r="B245" s="12">
        <v>243</v>
      </c>
      <c r="C245" s="13" t="s">
        <v>466</v>
      </c>
      <c r="D245" s="13" t="s">
        <v>100</v>
      </c>
      <c r="E245" s="14" t="s">
        <v>467</v>
      </c>
    </row>
    <row r="246" spans="2:5" x14ac:dyDescent="0.35">
      <c r="B246" s="12">
        <v>244</v>
      </c>
      <c r="C246" s="13" t="s">
        <v>468</v>
      </c>
      <c r="D246" s="13" t="s">
        <v>100</v>
      </c>
      <c r="E246" s="14" t="s">
        <v>469</v>
      </c>
    </row>
    <row r="247" spans="2:5" x14ac:dyDescent="0.35">
      <c r="B247" s="12">
        <v>245</v>
      </c>
      <c r="C247" s="13" t="s">
        <v>470</v>
      </c>
      <c r="D247" s="13" t="s">
        <v>100</v>
      </c>
      <c r="E247" s="14" t="s">
        <v>471</v>
      </c>
    </row>
    <row r="248" spans="2:5" x14ac:dyDescent="0.35">
      <c r="B248" s="12">
        <v>246</v>
      </c>
      <c r="C248" s="13" t="s">
        <v>472</v>
      </c>
      <c r="D248" s="13" t="s">
        <v>100</v>
      </c>
      <c r="E248" s="14" t="s">
        <v>473</v>
      </c>
    </row>
    <row r="249" spans="2:5" x14ac:dyDescent="0.35">
      <c r="B249" s="12">
        <v>247</v>
      </c>
      <c r="C249" s="13" t="s">
        <v>474</v>
      </c>
      <c r="D249" s="13" t="s">
        <v>100</v>
      </c>
      <c r="E249" s="14" t="s">
        <v>475</v>
      </c>
    </row>
    <row r="250" spans="2:5" x14ac:dyDescent="0.35">
      <c r="B250" s="12">
        <v>248</v>
      </c>
      <c r="C250" s="13" t="s">
        <v>476</v>
      </c>
      <c r="D250" s="13" t="s">
        <v>100</v>
      </c>
      <c r="E250" s="14" t="s">
        <v>477</v>
      </c>
    </row>
    <row r="251" spans="2:5" x14ac:dyDescent="0.35">
      <c r="B251" s="12">
        <v>249</v>
      </c>
      <c r="C251" s="13" t="s">
        <v>478</v>
      </c>
      <c r="D251" s="13" t="s">
        <v>100</v>
      </c>
      <c r="E251" s="14" t="s">
        <v>479</v>
      </c>
    </row>
    <row r="252" spans="2:5" x14ac:dyDescent="0.35">
      <c r="B252" s="12">
        <v>250</v>
      </c>
      <c r="C252" s="13" t="s">
        <v>480</v>
      </c>
      <c r="D252" s="13" t="s">
        <v>100</v>
      </c>
      <c r="E252" s="14" t="s">
        <v>481</v>
      </c>
    </row>
    <row r="253" spans="2:5" x14ac:dyDescent="0.35">
      <c r="B253" s="12">
        <v>251</v>
      </c>
      <c r="C253" s="13" t="s">
        <v>482</v>
      </c>
      <c r="D253" s="13" t="s">
        <v>100</v>
      </c>
      <c r="E253" s="14" t="s">
        <v>483</v>
      </c>
    </row>
    <row r="254" spans="2:5" x14ac:dyDescent="0.35">
      <c r="B254" s="12">
        <v>252</v>
      </c>
      <c r="C254" s="13" t="s">
        <v>484</v>
      </c>
      <c r="D254" s="13" t="s">
        <v>100</v>
      </c>
      <c r="E254" s="14" t="s">
        <v>485</v>
      </c>
    </row>
    <row r="255" spans="2:5" x14ac:dyDescent="0.35">
      <c r="B255" s="12">
        <v>253</v>
      </c>
      <c r="C255" s="13" t="s">
        <v>486</v>
      </c>
      <c r="D255" s="13" t="s">
        <v>100</v>
      </c>
      <c r="E255" s="14" t="s">
        <v>487</v>
      </c>
    </row>
    <row r="256" spans="2:5" x14ac:dyDescent="0.35">
      <c r="B256" s="12">
        <v>254</v>
      </c>
      <c r="C256" s="13" t="s">
        <v>488</v>
      </c>
      <c r="D256" s="13" t="s">
        <v>100</v>
      </c>
      <c r="E256" s="14" t="s">
        <v>489</v>
      </c>
    </row>
    <row r="257" spans="2:5" x14ac:dyDescent="0.35">
      <c r="B257" s="12">
        <v>255</v>
      </c>
      <c r="C257" s="13" t="s">
        <v>490</v>
      </c>
      <c r="D257" s="13" t="s">
        <v>100</v>
      </c>
      <c r="E257" s="14" t="s">
        <v>491</v>
      </c>
    </row>
    <row r="258" spans="2:5" x14ac:dyDescent="0.35">
      <c r="B258" s="12">
        <v>256</v>
      </c>
      <c r="C258" s="13" t="s">
        <v>492</v>
      </c>
      <c r="D258" s="13" t="s">
        <v>100</v>
      </c>
      <c r="E258" s="14" t="s">
        <v>493</v>
      </c>
    </row>
    <row r="259" spans="2:5" x14ac:dyDescent="0.35">
      <c r="B259" s="12">
        <v>257</v>
      </c>
      <c r="C259" s="13" t="s">
        <v>494</v>
      </c>
      <c r="D259" s="13" t="s">
        <v>100</v>
      </c>
      <c r="E259" s="14" t="s">
        <v>495</v>
      </c>
    </row>
    <row r="260" spans="2:5" x14ac:dyDescent="0.35">
      <c r="B260" s="12">
        <v>258</v>
      </c>
      <c r="C260" s="13" t="s">
        <v>496</v>
      </c>
      <c r="D260" s="13" t="s">
        <v>100</v>
      </c>
      <c r="E260" s="14" t="s">
        <v>497</v>
      </c>
    </row>
    <row r="261" spans="2:5" x14ac:dyDescent="0.35">
      <c r="B261" s="12">
        <v>259</v>
      </c>
      <c r="C261" s="13" t="s">
        <v>498</v>
      </c>
      <c r="D261" s="13" t="s">
        <v>100</v>
      </c>
      <c r="E261" s="14" t="s">
        <v>499</v>
      </c>
    </row>
    <row r="262" spans="2:5" x14ac:dyDescent="0.35">
      <c r="B262" s="12">
        <v>260</v>
      </c>
      <c r="C262" s="13" t="s">
        <v>500</v>
      </c>
      <c r="D262" s="13" t="s">
        <v>100</v>
      </c>
      <c r="E262" s="14" t="s">
        <v>501</v>
      </c>
    </row>
    <row r="263" spans="2:5" x14ac:dyDescent="0.35">
      <c r="B263" s="12">
        <v>261</v>
      </c>
      <c r="C263" s="13" t="s">
        <v>502</v>
      </c>
      <c r="D263" s="13" t="s">
        <v>100</v>
      </c>
      <c r="E263" s="14" t="s">
        <v>503</v>
      </c>
    </row>
    <row r="264" spans="2:5" x14ac:dyDescent="0.35">
      <c r="B264" s="12">
        <v>262</v>
      </c>
      <c r="C264" s="13" t="s">
        <v>504</v>
      </c>
      <c r="D264" s="13" t="s">
        <v>100</v>
      </c>
      <c r="E264" s="14" t="s">
        <v>505</v>
      </c>
    </row>
    <row r="265" spans="2:5" x14ac:dyDescent="0.35">
      <c r="B265" s="12">
        <v>263</v>
      </c>
      <c r="C265" s="13" t="s">
        <v>506</v>
      </c>
      <c r="D265" s="13" t="s">
        <v>100</v>
      </c>
      <c r="E265" s="14" t="s">
        <v>507</v>
      </c>
    </row>
    <row r="266" spans="2:5" x14ac:dyDescent="0.35">
      <c r="B266" s="12">
        <v>264</v>
      </c>
      <c r="C266" s="13" t="s">
        <v>508</v>
      </c>
      <c r="D266" s="13" t="s">
        <v>100</v>
      </c>
      <c r="E266" s="14" t="s">
        <v>509</v>
      </c>
    </row>
    <row r="267" spans="2:5" x14ac:dyDescent="0.35">
      <c r="B267" s="12">
        <v>265</v>
      </c>
      <c r="C267" s="13" t="s">
        <v>510</v>
      </c>
      <c r="D267" s="13" t="s">
        <v>100</v>
      </c>
      <c r="E267" s="14" t="s">
        <v>511</v>
      </c>
    </row>
    <row r="268" spans="2:5" x14ac:dyDescent="0.35">
      <c r="B268" s="12">
        <v>266</v>
      </c>
      <c r="C268" s="13" t="s">
        <v>512</v>
      </c>
      <c r="D268" s="13" t="s">
        <v>100</v>
      </c>
      <c r="E268" s="14" t="s">
        <v>513</v>
      </c>
    </row>
    <row r="269" spans="2:5" x14ac:dyDescent="0.35">
      <c r="B269" s="12">
        <v>267</v>
      </c>
      <c r="C269" s="13" t="s">
        <v>514</v>
      </c>
      <c r="D269" s="13" t="s">
        <v>100</v>
      </c>
      <c r="E269" s="14" t="s">
        <v>515</v>
      </c>
    </row>
    <row r="270" spans="2:5" x14ac:dyDescent="0.35">
      <c r="B270" s="12">
        <v>268</v>
      </c>
      <c r="C270" s="13" t="s">
        <v>516</v>
      </c>
      <c r="D270" s="13" t="s">
        <v>100</v>
      </c>
      <c r="E270" s="14" t="s">
        <v>517</v>
      </c>
    </row>
    <row r="271" spans="2:5" x14ac:dyDescent="0.35">
      <c r="B271" s="12">
        <v>269</v>
      </c>
      <c r="C271" s="13" t="s">
        <v>518</v>
      </c>
      <c r="D271" s="13" t="s">
        <v>101</v>
      </c>
      <c r="E271" s="14" t="s">
        <v>519</v>
      </c>
    </row>
    <row r="272" spans="2:5" x14ac:dyDescent="0.35">
      <c r="B272" s="12">
        <v>270</v>
      </c>
      <c r="C272" s="13" t="s">
        <v>520</v>
      </c>
      <c r="D272" s="13" t="s">
        <v>101</v>
      </c>
      <c r="E272" s="14" t="s">
        <v>521</v>
      </c>
    </row>
    <row r="273" spans="2:5" x14ac:dyDescent="0.35">
      <c r="B273" s="12">
        <v>271</v>
      </c>
      <c r="C273" s="13" t="s">
        <v>522</v>
      </c>
      <c r="D273" s="13" t="s">
        <v>101</v>
      </c>
      <c r="E273" s="14" t="s">
        <v>523</v>
      </c>
    </row>
    <row r="274" spans="2:5" x14ac:dyDescent="0.35">
      <c r="B274" s="12">
        <v>272</v>
      </c>
      <c r="C274" s="13" t="s">
        <v>524</v>
      </c>
      <c r="D274" s="13" t="s">
        <v>101</v>
      </c>
      <c r="E274" s="14" t="s">
        <v>525</v>
      </c>
    </row>
    <row r="275" spans="2:5" x14ac:dyDescent="0.35">
      <c r="B275" s="12">
        <v>273</v>
      </c>
      <c r="C275" s="13" t="s">
        <v>526</v>
      </c>
      <c r="D275" s="13" t="s">
        <v>101</v>
      </c>
      <c r="E275" s="14" t="s">
        <v>527</v>
      </c>
    </row>
    <row r="276" spans="2:5" x14ac:dyDescent="0.35">
      <c r="B276" s="12">
        <v>274</v>
      </c>
      <c r="C276" s="13" t="s">
        <v>528</v>
      </c>
      <c r="D276" s="13" t="s">
        <v>101</v>
      </c>
      <c r="E276" s="14" t="s">
        <v>529</v>
      </c>
    </row>
    <row r="277" spans="2:5" x14ac:dyDescent="0.35">
      <c r="B277" s="12">
        <v>275</v>
      </c>
      <c r="C277" s="13" t="s">
        <v>530</v>
      </c>
      <c r="D277" s="13" t="s">
        <v>101</v>
      </c>
      <c r="E277" s="14" t="s">
        <v>531</v>
      </c>
    </row>
    <row r="278" spans="2:5" x14ac:dyDescent="0.35">
      <c r="B278" s="12">
        <v>276</v>
      </c>
      <c r="C278" s="13" t="s">
        <v>532</v>
      </c>
      <c r="D278" s="13" t="s">
        <v>101</v>
      </c>
      <c r="E278" s="14" t="s">
        <v>533</v>
      </c>
    </row>
    <row r="279" spans="2:5" x14ac:dyDescent="0.35">
      <c r="B279" s="12">
        <v>277</v>
      </c>
      <c r="C279" s="13" t="s">
        <v>534</v>
      </c>
      <c r="D279" s="13" t="s">
        <v>101</v>
      </c>
      <c r="E279" s="14" t="s">
        <v>535</v>
      </c>
    </row>
    <row r="280" spans="2:5" x14ac:dyDescent="0.35">
      <c r="B280" s="12">
        <v>278</v>
      </c>
      <c r="C280" s="13" t="s">
        <v>536</v>
      </c>
      <c r="D280" s="13" t="s">
        <v>101</v>
      </c>
      <c r="E280" s="14" t="s">
        <v>537</v>
      </c>
    </row>
    <row r="281" spans="2:5" x14ac:dyDescent="0.35">
      <c r="B281" s="12">
        <v>279</v>
      </c>
      <c r="C281" s="13" t="s">
        <v>538</v>
      </c>
      <c r="D281" s="13" t="s">
        <v>101</v>
      </c>
      <c r="E281" s="14" t="s">
        <v>539</v>
      </c>
    </row>
    <row r="282" spans="2:5" x14ac:dyDescent="0.35">
      <c r="B282" s="12">
        <v>280</v>
      </c>
      <c r="C282" s="13" t="s">
        <v>540</v>
      </c>
      <c r="D282" s="13" t="s">
        <v>101</v>
      </c>
      <c r="E282" s="14" t="s">
        <v>541</v>
      </c>
    </row>
    <row r="283" spans="2:5" x14ac:dyDescent="0.35">
      <c r="B283" s="12">
        <v>281</v>
      </c>
      <c r="C283" s="13" t="s">
        <v>542</v>
      </c>
      <c r="D283" s="13" t="s">
        <v>101</v>
      </c>
      <c r="E283" s="14" t="s">
        <v>543</v>
      </c>
    </row>
    <row r="284" spans="2:5" x14ac:dyDescent="0.35">
      <c r="B284" s="12">
        <v>282</v>
      </c>
      <c r="C284" s="13" t="s">
        <v>544</v>
      </c>
      <c r="D284" s="13" t="s">
        <v>101</v>
      </c>
      <c r="E284" s="14" t="s">
        <v>545</v>
      </c>
    </row>
    <row r="285" spans="2:5" x14ac:dyDescent="0.35">
      <c r="B285" s="12">
        <v>283</v>
      </c>
      <c r="C285" s="13" t="s">
        <v>546</v>
      </c>
      <c r="D285" s="13" t="s">
        <v>101</v>
      </c>
      <c r="E285" s="14" t="s">
        <v>547</v>
      </c>
    </row>
    <row r="286" spans="2:5" x14ac:dyDescent="0.35">
      <c r="B286" s="12">
        <v>284</v>
      </c>
      <c r="C286" s="13" t="s">
        <v>548</v>
      </c>
      <c r="D286" s="13" t="s">
        <v>101</v>
      </c>
      <c r="E286" s="14" t="s">
        <v>549</v>
      </c>
    </row>
    <row r="287" spans="2:5" x14ac:dyDescent="0.35">
      <c r="B287" s="12">
        <v>285</v>
      </c>
      <c r="C287" s="13" t="s">
        <v>550</v>
      </c>
      <c r="D287" s="13" t="s">
        <v>101</v>
      </c>
      <c r="E287" s="14" t="s">
        <v>551</v>
      </c>
    </row>
    <row r="288" spans="2:5" x14ac:dyDescent="0.35">
      <c r="B288" s="12">
        <v>286</v>
      </c>
      <c r="C288" s="13" t="s">
        <v>552</v>
      </c>
      <c r="D288" s="13" t="s">
        <v>101</v>
      </c>
      <c r="E288" s="14" t="s">
        <v>553</v>
      </c>
    </row>
    <row r="289" spans="2:5" x14ac:dyDescent="0.35">
      <c r="B289" s="12">
        <v>287</v>
      </c>
      <c r="C289" s="13" t="s">
        <v>554</v>
      </c>
      <c r="D289" s="13" t="s">
        <v>101</v>
      </c>
      <c r="E289" s="14" t="s">
        <v>555</v>
      </c>
    </row>
    <row r="290" spans="2:5" x14ac:dyDescent="0.35">
      <c r="B290" s="12">
        <v>288</v>
      </c>
      <c r="C290" s="13" t="s">
        <v>556</v>
      </c>
      <c r="D290" s="13" t="s">
        <v>101</v>
      </c>
      <c r="E290" s="14" t="s">
        <v>557</v>
      </c>
    </row>
    <row r="291" spans="2:5" x14ac:dyDescent="0.35">
      <c r="B291" s="12">
        <v>289</v>
      </c>
      <c r="C291" s="13" t="s">
        <v>558</v>
      </c>
      <c r="D291" s="13" t="s">
        <v>101</v>
      </c>
      <c r="E291" s="14" t="s">
        <v>559</v>
      </c>
    </row>
    <row r="292" spans="2:5" x14ac:dyDescent="0.35">
      <c r="B292" s="12">
        <v>290</v>
      </c>
      <c r="C292" s="13" t="s">
        <v>560</v>
      </c>
      <c r="D292" s="13" t="s">
        <v>101</v>
      </c>
      <c r="E292" s="14" t="s">
        <v>561</v>
      </c>
    </row>
    <row r="293" spans="2:5" x14ac:dyDescent="0.35">
      <c r="B293" s="12">
        <v>291</v>
      </c>
      <c r="C293" s="13" t="s">
        <v>562</v>
      </c>
      <c r="D293" s="13" t="s">
        <v>101</v>
      </c>
      <c r="E293" s="14" t="s">
        <v>563</v>
      </c>
    </row>
    <row r="294" spans="2:5" x14ac:dyDescent="0.35">
      <c r="B294" s="12">
        <v>292</v>
      </c>
      <c r="C294" s="13" t="s">
        <v>564</v>
      </c>
      <c r="D294" s="13" t="s">
        <v>101</v>
      </c>
      <c r="E294" s="14" t="s">
        <v>565</v>
      </c>
    </row>
    <row r="295" spans="2:5" x14ac:dyDescent="0.35">
      <c r="B295" s="12">
        <v>293</v>
      </c>
      <c r="C295" s="13" t="s">
        <v>566</v>
      </c>
      <c r="D295" s="13" t="s">
        <v>101</v>
      </c>
      <c r="E295" s="14" t="s">
        <v>567</v>
      </c>
    </row>
    <row r="296" spans="2:5" x14ac:dyDescent="0.35">
      <c r="B296" s="12">
        <v>294</v>
      </c>
      <c r="C296" s="13" t="s">
        <v>568</v>
      </c>
      <c r="D296" s="13" t="s">
        <v>101</v>
      </c>
      <c r="E296" s="14" t="s">
        <v>569</v>
      </c>
    </row>
    <row r="297" spans="2:5" x14ac:dyDescent="0.35">
      <c r="B297" s="12">
        <v>295</v>
      </c>
      <c r="C297" s="13" t="s">
        <v>570</v>
      </c>
      <c r="D297" s="13" t="s">
        <v>101</v>
      </c>
      <c r="E297" s="14" t="s">
        <v>571</v>
      </c>
    </row>
    <row r="298" spans="2:5" x14ac:dyDescent="0.35">
      <c r="B298" s="12">
        <v>296</v>
      </c>
      <c r="C298" s="13" t="s">
        <v>572</v>
      </c>
      <c r="D298" s="13" t="s">
        <v>101</v>
      </c>
      <c r="E298" s="14" t="s">
        <v>573</v>
      </c>
    </row>
    <row r="299" spans="2:5" x14ac:dyDescent="0.35">
      <c r="B299" s="12">
        <v>297</v>
      </c>
      <c r="C299" s="13" t="s">
        <v>574</v>
      </c>
      <c r="D299" s="13" t="s">
        <v>101</v>
      </c>
      <c r="E299" s="14" t="s">
        <v>575</v>
      </c>
    </row>
    <row r="300" spans="2:5" x14ac:dyDescent="0.35">
      <c r="B300" s="12">
        <v>298</v>
      </c>
      <c r="C300" s="13" t="s">
        <v>576</v>
      </c>
      <c r="D300" s="13" t="s">
        <v>101</v>
      </c>
      <c r="E300" s="14" t="s">
        <v>577</v>
      </c>
    </row>
    <row r="301" spans="2:5" x14ac:dyDescent="0.35">
      <c r="B301" s="12">
        <v>299</v>
      </c>
      <c r="C301" s="13" t="s">
        <v>578</v>
      </c>
      <c r="D301" s="13" t="s">
        <v>101</v>
      </c>
      <c r="E301" s="14" t="s">
        <v>579</v>
      </c>
    </row>
    <row r="302" spans="2:5" x14ac:dyDescent="0.35">
      <c r="B302" s="12">
        <v>300</v>
      </c>
      <c r="C302" s="13" t="s">
        <v>580</v>
      </c>
      <c r="D302" s="13" t="s">
        <v>101</v>
      </c>
      <c r="E302" s="14" t="s">
        <v>581</v>
      </c>
    </row>
    <row r="303" spans="2:5" x14ac:dyDescent="0.35">
      <c r="B303" s="12">
        <v>301</v>
      </c>
      <c r="C303" s="13" t="s">
        <v>582</v>
      </c>
      <c r="D303" s="13" t="s">
        <v>101</v>
      </c>
      <c r="E303" s="14" t="s">
        <v>583</v>
      </c>
    </row>
    <row r="304" spans="2:5" x14ac:dyDescent="0.35">
      <c r="B304" s="12">
        <v>302</v>
      </c>
      <c r="C304" s="13" t="s">
        <v>584</v>
      </c>
      <c r="D304" s="13" t="s">
        <v>99</v>
      </c>
      <c r="E304" s="14" t="s">
        <v>585</v>
      </c>
    </row>
    <row r="305" spans="2:5" x14ac:dyDescent="0.35">
      <c r="B305" s="12">
        <v>303</v>
      </c>
      <c r="C305" s="13" t="s">
        <v>586</v>
      </c>
      <c r="D305" s="13" t="s">
        <v>99</v>
      </c>
      <c r="E305" s="14" t="s">
        <v>587</v>
      </c>
    </row>
    <row r="306" spans="2:5" x14ac:dyDescent="0.35">
      <c r="B306" s="12">
        <v>304</v>
      </c>
      <c r="C306" s="13" t="s">
        <v>588</v>
      </c>
      <c r="D306" s="13" t="s">
        <v>99</v>
      </c>
      <c r="E306" s="14" t="s">
        <v>589</v>
      </c>
    </row>
    <row r="307" spans="2:5" x14ac:dyDescent="0.35">
      <c r="B307" s="12">
        <v>305</v>
      </c>
      <c r="C307" s="13" t="s">
        <v>590</v>
      </c>
      <c r="D307" s="13" t="s">
        <v>99</v>
      </c>
      <c r="E307" s="14" t="s">
        <v>591</v>
      </c>
    </row>
    <row r="308" spans="2:5" x14ac:dyDescent="0.35">
      <c r="B308" s="12">
        <v>306</v>
      </c>
      <c r="C308" s="13" t="s">
        <v>592</v>
      </c>
      <c r="D308" s="13" t="s">
        <v>99</v>
      </c>
      <c r="E308" s="14" t="s">
        <v>593</v>
      </c>
    </row>
    <row r="309" spans="2:5" x14ac:dyDescent="0.35">
      <c r="B309" s="12">
        <v>307</v>
      </c>
      <c r="C309" s="13" t="s">
        <v>594</v>
      </c>
      <c r="D309" s="13" t="s">
        <v>99</v>
      </c>
      <c r="E309" s="14" t="s">
        <v>595</v>
      </c>
    </row>
    <row r="310" spans="2:5" x14ac:dyDescent="0.35">
      <c r="B310" s="12">
        <v>308</v>
      </c>
      <c r="C310" s="13" t="s">
        <v>596</v>
      </c>
      <c r="D310" s="13" t="s">
        <v>99</v>
      </c>
      <c r="E310" s="14" t="s">
        <v>597</v>
      </c>
    </row>
    <row r="311" spans="2:5" x14ac:dyDescent="0.35">
      <c r="B311" s="12">
        <v>309</v>
      </c>
      <c r="C311" s="13" t="s">
        <v>598</v>
      </c>
      <c r="D311" s="13" t="s">
        <v>99</v>
      </c>
      <c r="E311" s="14" t="s">
        <v>599</v>
      </c>
    </row>
    <row r="312" spans="2:5" x14ac:dyDescent="0.35">
      <c r="B312" s="12">
        <v>310</v>
      </c>
      <c r="C312" s="13" t="s">
        <v>600</v>
      </c>
      <c r="D312" s="13" t="s">
        <v>99</v>
      </c>
      <c r="E312" s="14" t="s">
        <v>601</v>
      </c>
    </row>
    <row r="313" spans="2:5" x14ac:dyDescent="0.35">
      <c r="B313" s="12">
        <v>311</v>
      </c>
      <c r="C313" s="13" t="s">
        <v>602</v>
      </c>
      <c r="D313" s="13" t="s">
        <v>99</v>
      </c>
      <c r="E313" s="14" t="s">
        <v>603</v>
      </c>
    </row>
    <row r="314" spans="2:5" x14ac:dyDescent="0.35">
      <c r="B314" s="12">
        <v>312</v>
      </c>
      <c r="C314" s="13" t="s">
        <v>604</v>
      </c>
      <c r="D314" s="13" t="s">
        <v>99</v>
      </c>
      <c r="E314" s="14" t="s">
        <v>605</v>
      </c>
    </row>
    <row r="315" spans="2:5" x14ac:dyDescent="0.35">
      <c r="B315" s="12">
        <v>313</v>
      </c>
      <c r="C315" s="13" t="s">
        <v>606</v>
      </c>
      <c r="D315" s="13" t="s">
        <v>99</v>
      </c>
      <c r="E315" s="14" t="s">
        <v>607</v>
      </c>
    </row>
    <row r="316" spans="2:5" x14ac:dyDescent="0.35">
      <c r="B316" s="12">
        <v>314</v>
      </c>
      <c r="C316" s="13" t="s">
        <v>608</v>
      </c>
      <c r="D316" s="13" t="s">
        <v>99</v>
      </c>
      <c r="E316" s="14" t="s">
        <v>609</v>
      </c>
    </row>
    <row r="317" spans="2:5" x14ac:dyDescent="0.35">
      <c r="B317" s="12">
        <v>315</v>
      </c>
      <c r="C317" s="13" t="s">
        <v>610</v>
      </c>
      <c r="D317" s="13" t="s">
        <v>99</v>
      </c>
      <c r="E317" s="14" t="s">
        <v>611</v>
      </c>
    </row>
    <row r="318" spans="2:5" x14ac:dyDescent="0.35">
      <c r="B318" s="12">
        <v>316</v>
      </c>
      <c r="C318" s="13" t="s">
        <v>612</v>
      </c>
      <c r="D318" s="13" t="s">
        <v>99</v>
      </c>
      <c r="E318" s="14" t="s">
        <v>613</v>
      </c>
    </row>
    <row r="319" spans="2:5" x14ac:dyDescent="0.35">
      <c r="B319" s="12">
        <v>317</v>
      </c>
      <c r="C319" s="13" t="s">
        <v>614</v>
      </c>
      <c r="D319" s="13" t="s">
        <v>99</v>
      </c>
      <c r="E319" s="14" t="s">
        <v>615</v>
      </c>
    </row>
    <row r="320" spans="2:5" x14ac:dyDescent="0.35">
      <c r="B320" s="12">
        <v>318</v>
      </c>
      <c r="C320" s="13" t="s">
        <v>616</v>
      </c>
      <c r="D320" s="13" t="s">
        <v>99</v>
      </c>
      <c r="E320" s="14" t="s">
        <v>617</v>
      </c>
    </row>
    <row r="321" spans="2:5" x14ac:dyDescent="0.35">
      <c r="B321" s="12">
        <v>319</v>
      </c>
      <c r="C321" s="13" t="s">
        <v>618</v>
      </c>
      <c r="D321" s="13" t="s">
        <v>99</v>
      </c>
      <c r="E321" s="14" t="s">
        <v>619</v>
      </c>
    </row>
    <row r="322" spans="2:5" x14ac:dyDescent="0.35">
      <c r="B322" s="12">
        <v>320</v>
      </c>
      <c r="C322" s="13" t="s">
        <v>620</v>
      </c>
      <c r="D322" s="13" t="s">
        <v>99</v>
      </c>
      <c r="E322" s="14" t="s">
        <v>621</v>
      </c>
    </row>
    <row r="323" spans="2:5" x14ac:dyDescent="0.35">
      <c r="B323" s="12">
        <v>321</v>
      </c>
      <c r="C323" s="13" t="s">
        <v>622</v>
      </c>
      <c r="D323" s="13" t="s">
        <v>99</v>
      </c>
      <c r="E323" s="14" t="s">
        <v>623</v>
      </c>
    </row>
    <row r="324" spans="2:5" x14ac:dyDescent="0.35">
      <c r="B324" s="12">
        <v>322</v>
      </c>
      <c r="C324" s="13" t="s">
        <v>624</v>
      </c>
      <c r="D324" s="13" t="s">
        <v>99</v>
      </c>
      <c r="E324" s="14" t="s">
        <v>625</v>
      </c>
    </row>
    <row r="325" spans="2:5" x14ac:dyDescent="0.35">
      <c r="B325" s="12">
        <v>323</v>
      </c>
      <c r="C325" s="13" t="s">
        <v>626</v>
      </c>
      <c r="D325" s="13" t="s">
        <v>99</v>
      </c>
      <c r="E325" s="14" t="s">
        <v>627</v>
      </c>
    </row>
    <row r="326" spans="2:5" x14ac:dyDescent="0.35">
      <c r="B326" s="12">
        <v>324</v>
      </c>
      <c r="C326" s="13" t="s">
        <v>628</v>
      </c>
      <c r="D326" s="13" t="s">
        <v>99</v>
      </c>
      <c r="E326" s="14" t="s">
        <v>629</v>
      </c>
    </row>
    <row r="327" spans="2:5" x14ac:dyDescent="0.35">
      <c r="B327" s="12">
        <v>325</v>
      </c>
      <c r="C327" s="13" t="s">
        <v>630</v>
      </c>
      <c r="D327" s="13" t="s">
        <v>99</v>
      </c>
      <c r="E327" s="14" t="s">
        <v>631</v>
      </c>
    </row>
    <row r="328" spans="2:5" x14ac:dyDescent="0.35">
      <c r="B328" s="12">
        <v>326</v>
      </c>
      <c r="C328" s="13" t="s">
        <v>632</v>
      </c>
      <c r="D328" s="13" t="s">
        <v>99</v>
      </c>
      <c r="E328" s="14" t="s">
        <v>633</v>
      </c>
    </row>
    <row r="329" spans="2:5" x14ac:dyDescent="0.35">
      <c r="B329" s="12">
        <v>327</v>
      </c>
      <c r="C329" s="13" t="s">
        <v>634</v>
      </c>
      <c r="D329" s="13" t="s">
        <v>99</v>
      </c>
      <c r="E329" s="14" t="s">
        <v>635</v>
      </c>
    </row>
    <row r="330" spans="2:5" x14ac:dyDescent="0.35">
      <c r="B330" s="12">
        <v>328</v>
      </c>
      <c r="C330" s="13" t="s">
        <v>636</v>
      </c>
      <c r="D330" s="13" t="s">
        <v>99</v>
      </c>
      <c r="E330" s="14" t="s">
        <v>637</v>
      </c>
    </row>
    <row r="331" spans="2:5" x14ac:dyDescent="0.35">
      <c r="B331" s="12">
        <v>329</v>
      </c>
      <c r="C331" s="13" t="s">
        <v>638</v>
      </c>
      <c r="D331" s="13" t="s">
        <v>99</v>
      </c>
      <c r="E331" s="14" t="s">
        <v>639</v>
      </c>
    </row>
    <row r="332" spans="2:5" x14ac:dyDescent="0.35">
      <c r="B332" s="12">
        <v>330</v>
      </c>
      <c r="C332" s="13" t="s">
        <v>640</v>
      </c>
      <c r="D332" s="13" t="s">
        <v>99</v>
      </c>
      <c r="E332" s="14" t="s">
        <v>641</v>
      </c>
    </row>
    <row r="333" spans="2:5" x14ac:dyDescent="0.35">
      <c r="B333" s="12">
        <v>331</v>
      </c>
      <c r="C333" s="13" t="s">
        <v>642</v>
      </c>
      <c r="D333" s="13" t="s">
        <v>99</v>
      </c>
      <c r="E333" s="14" t="s">
        <v>643</v>
      </c>
    </row>
    <row r="334" spans="2:5" x14ac:dyDescent="0.35">
      <c r="B334" s="12">
        <v>332</v>
      </c>
      <c r="C334" s="13" t="s">
        <v>644</v>
      </c>
      <c r="D334" s="13" t="s">
        <v>99</v>
      </c>
      <c r="E334" s="14" t="s">
        <v>645</v>
      </c>
    </row>
    <row r="335" spans="2:5" x14ac:dyDescent="0.35">
      <c r="B335" s="12">
        <v>333</v>
      </c>
      <c r="C335" s="13" t="s">
        <v>646</v>
      </c>
      <c r="D335" s="13" t="s">
        <v>99</v>
      </c>
      <c r="E335" s="14" t="s">
        <v>647</v>
      </c>
    </row>
    <row r="336" spans="2:5" x14ac:dyDescent="0.35">
      <c r="B336" s="12">
        <v>334</v>
      </c>
      <c r="C336" s="13" t="s">
        <v>648</v>
      </c>
      <c r="D336" s="13" t="s">
        <v>99</v>
      </c>
      <c r="E336" s="14" t="s">
        <v>649</v>
      </c>
    </row>
    <row r="337" spans="2:5" x14ac:dyDescent="0.35">
      <c r="B337" s="12">
        <v>335</v>
      </c>
      <c r="C337" s="13" t="s">
        <v>650</v>
      </c>
      <c r="D337" s="13" t="s">
        <v>99</v>
      </c>
      <c r="E337" s="14" t="s">
        <v>651</v>
      </c>
    </row>
    <row r="338" spans="2:5" x14ac:dyDescent="0.35">
      <c r="B338" s="12">
        <v>336</v>
      </c>
      <c r="C338" s="13" t="s">
        <v>652</v>
      </c>
      <c r="D338" s="13" t="s">
        <v>99</v>
      </c>
      <c r="E338" s="14" t="s">
        <v>653</v>
      </c>
    </row>
    <row r="339" spans="2:5" x14ac:dyDescent="0.35">
      <c r="B339" s="12">
        <v>337</v>
      </c>
      <c r="C339" s="13" t="s">
        <v>654</v>
      </c>
      <c r="D339" s="13" t="s">
        <v>99</v>
      </c>
      <c r="E339" s="14" t="s">
        <v>655</v>
      </c>
    </row>
    <row r="340" spans="2:5" x14ac:dyDescent="0.35">
      <c r="B340" s="12">
        <v>338</v>
      </c>
      <c r="C340" s="13" t="s">
        <v>656</v>
      </c>
      <c r="D340" s="13" t="s">
        <v>99</v>
      </c>
      <c r="E340" s="14" t="s">
        <v>657</v>
      </c>
    </row>
    <row r="341" spans="2:5" x14ac:dyDescent="0.35">
      <c r="B341" s="12">
        <v>339</v>
      </c>
      <c r="C341" s="13" t="s">
        <v>658</v>
      </c>
      <c r="D341" s="13" t="s">
        <v>99</v>
      </c>
      <c r="E341" s="14" t="s">
        <v>659</v>
      </c>
    </row>
    <row r="342" spans="2:5" x14ac:dyDescent="0.35">
      <c r="B342" s="12">
        <v>340</v>
      </c>
      <c r="C342" s="13" t="s">
        <v>660</v>
      </c>
      <c r="D342" s="13" t="s">
        <v>99</v>
      </c>
      <c r="E342" s="14" t="s">
        <v>661</v>
      </c>
    </row>
    <row r="343" spans="2:5" x14ac:dyDescent="0.35">
      <c r="B343" s="12">
        <v>341</v>
      </c>
      <c r="C343" s="13" t="s">
        <v>662</v>
      </c>
      <c r="D343" s="13" t="s">
        <v>99</v>
      </c>
      <c r="E343" s="14" t="s">
        <v>663</v>
      </c>
    </row>
    <row r="344" spans="2:5" x14ac:dyDescent="0.35">
      <c r="B344" s="12">
        <v>342</v>
      </c>
      <c r="C344" s="13" t="s">
        <v>664</v>
      </c>
      <c r="D344" s="13" t="s">
        <v>99</v>
      </c>
      <c r="E344" s="14" t="s">
        <v>665</v>
      </c>
    </row>
    <row r="345" spans="2:5" x14ac:dyDescent="0.35">
      <c r="B345" s="12">
        <v>343</v>
      </c>
      <c r="C345" s="13" t="s">
        <v>666</v>
      </c>
      <c r="D345" s="13" t="s">
        <v>99</v>
      </c>
      <c r="E345" s="14" t="s">
        <v>667</v>
      </c>
    </row>
    <row r="346" spans="2:5" x14ac:dyDescent="0.35">
      <c r="B346" s="12">
        <v>344</v>
      </c>
      <c r="C346" s="13" t="s">
        <v>668</v>
      </c>
      <c r="D346" s="13" t="s">
        <v>99</v>
      </c>
      <c r="E346" s="14" t="s">
        <v>669</v>
      </c>
    </row>
    <row r="347" spans="2:5" x14ac:dyDescent="0.35">
      <c r="B347" s="12">
        <v>345</v>
      </c>
      <c r="C347" s="13" t="s">
        <v>670</v>
      </c>
      <c r="D347" s="13" t="s">
        <v>99</v>
      </c>
      <c r="E347" s="14" t="s">
        <v>671</v>
      </c>
    </row>
    <row r="348" spans="2:5" x14ac:dyDescent="0.35">
      <c r="B348" s="12">
        <v>346</v>
      </c>
      <c r="C348" s="13" t="s">
        <v>672</v>
      </c>
      <c r="D348" s="13" t="s">
        <v>99</v>
      </c>
      <c r="E348" s="14" t="s">
        <v>673</v>
      </c>
    </row>
    <row r="349" spans="2:5" x14ac:dyDescent="0.35">
      <c r="B349" s="12">
        <v>347</v>
      </c>
      <c r="C349" s="13" t="s">
        <v>674</v>
      </c>
      <c r="D349" s="13" t="s">
        <v>99</v>
      </c>
      <c r="E349" s="14" t="s">
        <v>675</v>
      </c>
    </row>
    <row r="350" spans="2:5" x14ac:dyDescent="0.35">
      <c r="B350" s="12">
        <v>348</v>
      </c>
      <c r="C350" s="13" t="s">
        <v>676</v>
      </c>
      <c r="D350" s="13" t="s">
        <v>99</v>
      </c>
      <c r="E350" s="14" t="s">
        <v>677</v>
      </c>
    </row>
    <row r="351" spans="2:5" x14ac:dyDescent="0.35">
      <c r="B351" s="12">
        <v>349</v>
      </c>
      <c r="C351" s="13" t="s">
        <v>678</v>
      </c>
      <c r="D351" s="13" t="s">
        <v>99</v>
      </c>
      <c r="E351" s="14" t="s">
        <v>679</v>
      </c>
    </row>
    <row r="352" spans="2:5" x14ac:dyDescent="0.35">
      <c r="B352" s="12">
        <v>350</v>
      </c>
      <c r="C352" s="13" t="s">
        <v>680</v>
      </c>
      <c r="D352" s="13" t="s">
        <v>99</v>
      </c>
      <c r="E352" s="14" t="s">
        <v>681</v>
      </c>
    </row>
    <row r="353" spans="2:5" x14ac:dyDescent="0.35">
      <c r="B353" s="12">
        <v>351</v>
      </c>
      <c r="C353" s="13" t="s">
        <v>682</v>
      </c>
      <c r="D353" s="13" t="s">
        <v>99</v>
      </c>
      <c r="E353" s="14" t="s">
        <v>683</v>
      </c>
    </row>
    <row r="354" spans="2:5" x14ac:dyDescent="0.35">
      <c r="B354" s="12">
        <v>352</v>
      </c>
      <c r="C354" s="13" t="s">
        <v>684</v>
      </c>
      <c r="D354" s="13" t="s">
        <v>99</v>
      </c>
      <c r="E354" s="14" t="s">
        <v>685</v>
      </c>
    </row>
    <row r="355" spans="2:5" x14ac:dyDescent="0.35">
      <c r="B355" s="12">
        <v>353</v>
      </c>
      <c r="C355" s="13" t="s">
        <v>686</v>
      </c>
      <c r="D355" s="13" t="s">
        <v>99</v>
      </c>
      <c r="E355" s="14" t="s">
        <v>687</v>
      </c>
    </row>
    <row r="356" spans="2:5" x14ac:dyDescent="0.35">
      <c r="B356" s="12">
        <v>354</v>
      </c>
      <c r="C356" s="13" t="s">
        <v>688</v>
      </c>
      <c r="D356" s="13" t="s">
        <v>99</v>
      </c>
      <c r="E356" s="14" t="s">
        <v>689</v>
      </c>
    </row>
    <row r="357" spans="2:5" x14ac:dyDescent="0.35">
      <c r="B357" s="12">
        <v>355</v>
      </c>
      <c r="C357" s="13" t="s">
        <v>690</v>
      </c>
      <c r="D357" s="13" t="s">
        <v>99</v>
      </c>
      <c r="E357" s="14" t="s">
        <v>691</v>
      </c>
    </row>
    <row r="358" spans="2:5" x14ac:dyDescent="0.35">
      <c r="B358" s="12">
        <v>356</v>
      </c>
      <c r="C358" s="13" t="s">
        <v>692</v>
      </c>
      <c r="D358" s="13" t="s">
        <v>99</v>
      </c>
      <c r="E358" s="14" t="s">
        <v>693</v>
      </c>
    </row>
    <row r="359" spans="2:5" x14ac:dyDescent="0.35">
      <c r="B359" s="12">
        <v>357</v>
      </c>
      <c r="C359" s="13" t="s">
        <v>694</v>
      </c>
      <c r="D359" s="13" t="s">
        <v>99</v>
      </c>
      <c r="E359" s="14" t="s">
        <v>695</v>
      </c>
    </row>
    <row r="360" spans="2:5" x14ac:dyDescent="0.35">
      <c r="B360" s="12">
        <v>358</v>
      </c>
      <c r="C360" s="13" t="s">
        <v>696</v>
      </c>
      <c r="D360" s="13" t="s">
        <v>99</v>
      </c>
      <c r="E360" s="14" t="s">
        <v>697</v>
      </c>
    </row>
    <row r="361" spans="2:5" x14ac:dyDescent="0.35">
      <c r="B361" s="12">
        <v>359</v>
      </c>
      <c r="C361" s="13" t="s">
        <v>698</v>
      </c>
      <c r="D361" s="13" t="s">
        <v>99</v>
      </c>
      <c r="E361" s="14" t="s">
        <v>699</v>
      </c>
    </row>
    <row r="362" spans="2:5" x14ac:dyDescent="0.35">
      <c r="B362" s="12">
        <v>360</v>
      </c>
      <c r="C362" s="13" t="s">
        <v>700</v>
      </c>
      <c r="D362" s="13" t="s">
        <v>99</v>
      </c>
      <c r="E362" s="14" t="s">
        <v>701</v>
      </c>
    </row>
    <row r="363" spans="2:5" x14ac:dyDescent="0.35">
      <c r="B363" s="12">
        <v>361</v>
      </c>
      <c r="C363" s="13" t="s">
        <v>702</v>
      </c>
      <c r="D363" s="13" t="s">
        <v>99</v>
      </c>
      <c r="E363" s="14" t="s">
        <v>703</v>
      </c>
    </row>
    <row r="364" spans="2:5" x14ac:dyDescent="0.35">
      <c r="B364" s="12">
        <v>362</v>
      </c>
      <c r="C364" s="13" t="s">
        <v>704</v>
      </c>
      <c r="D364" s="13" t="s">
        <v>99</v>
      </c>
      <c r="E364" s="14" t="s">
        <v>705</v>
      </c>
    </row>
    <row r="365" spans="2:5" x14ac:dyDescent="0.35">
      <c r="B365" s="12">
        <v>363</v>
      </c>
      <c r="C365" s="13" t="s">
        <v>706</v>
      </c>
      <c r="D365" s="13" t="s">
        <v>99</v>
      </c>
      <c r="E365" s="14" t="s">
        <v>707</v>
      </c>
    </row>
    <row r="366" spans="2:5" x14ac:dyDescent="0.35">
      <c r="B366" s="12">
        <v>364</v>
      </c>
      <c r="C366" s="13" t="s">
        <v>708</v>
      </c>
      <c r="D366" s="13" t="s">
        <v>99</v>
      </c>
      <c r="E366" s="14" t="s">
        <v>709</v>
      </c>
    </row>
    <row r="367" spans="2:5" x14ac:dyDescent="0.35">
      <c r="B367" s="12">
        <v>365</v>
      </c>
      <c r="C367" s="13" t="s">
        <v>710</v>
      </c>
      <c r="D367" s="13" t="s">
        <v>99</v>
      </c>
      <c r="E367" s="14" t="s">
        <v>711</v>
      </c>
    </row>
    <row r="368" spans="2:5" x14ac:dyDescent="0.35">
      <c r="B368" s="12">
        <v>366</v>
      </c>
      <c r="C368" s="13" t="s">
        <v>712</v>
      </c>
      <c r="D368" s="13" t="s">
        <v>99</v>
      </c>
      <c r="E368" s="14" t="s">
        <v>713</v>
      </c>
    </row>
    <row r="369" spans="2:5" x14ac:dyDescent="0.35">
      <c r="B369" s="12">
        <v>367</v>
      </c>
      <c r="C369" s="13" t="s">
        <v>714</v>
      </c>
      <c r="D369" s="13" t="s">
        <v>99</v>
      </c>
      <c r="E369" s="14" t="s">
        <v>715</v>
      </c>
    </row>
    <row r="370" spans="2:5" ht="15" thickBot="1" x14ac:dyDescent="0.4">
      <c r="B370" s="15">
        <v>368</v>
      </c>
      <c r="C370" s="16" t="s">
        <v>0</v>
      </c>
      <c r="D370" s="16" t="s">
        <v>734</v>
      </c>
      <c r="E370" s="17" t="s">
        <v>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9A6B8-94D2-472B-99F2-206A2704EBA3}">
  <sheetPr codeName="Sheet3"/>
  <dimension ref="B2:C14"/>
  <sheetViews>
    <sheetView showGridLines="0" zoomScale="130" zoomScaleNormal="130" workbookViewId="0">
      <selection activeCell="C3" sqref="C3:C13"/>
    </sheetView>
  </sheetViews>
  <sheetFormatPr defaultRowHeight="14.5" x14ac:dyDescent="0.35"/>
  <cols>
    <col min="2" max="2" width="20.54296875" bestFit="1" customWidth="1"/>
    <col min="3" max="3" width="15.7265625" bestFit="1" customWidth="1"/>
  </cols>
  <sheetData>
    <row r="2" spans="2:3" ht="15" thickBot="1" x14ac:dyDescent="0.4">
      <c r="B2" s="119" t="s">
        <v>102</v>
      </c>
      <c r="C2" s="120" t="s">
        <v>103</v>
      </c>
    </row>
    <row r="3" spans="2:3" ht="15" thickTop="1" x14ac:dyDescent="0.35">
      <c r="B3" s="121" t="s">
        <v>104</v>
      </c>
      <c r="C3" s="122" t="s">
        <v>105</v>
      </c>
    </row>
    <row r="4" spans="2:3" x14ac:dyDescent="0.35">
      <c r="B4" s="123" t="s">
        <v>106</v>
      </c>
      <c r="C4" s="124">
        <v>42</v>
      </c>
    </row>
    <row r="5" spans="2:3" x14ac:dyDescent="0.35">
      <c r="B5" s="123" t="s">
        <v>107</v>
      </c>
      <c r="C5" s="124">
        <v>250</v>
      </c>
    </row>
    <row r="6" spans="2:3" x14ac:dyDescent="0.35">
      <c r="B6" s="123" t="s">
        <v>108</v>
      </c>
      <c r="C6" s="124">
        <v>0.03</v>
      </c>
    </row>
    <row r="7" spans="2:3" x14ac:dyDescent="0.35">
      <c r="B7" s="123" t="s">
        <v>109</v>
      </c>
      <c r="C7" s="124">
        <v>3</v>
      </c>
    </row>
    <row r="8" spans="2:3" x14ac:dyDescent="0.35">
      <c r="B8" s="123" t="s">
        <v>110</v>
      </c>
      <c r="C8" s="124">
        <v>0</v>
      </c>
    </row>
    <row r="9" spans="2:3" x14ac:dyDescent="0.35">
      <c r="B9" s="123" t="s">
        <v>111</v>
      </c>
      <c r="C9" s="124">
        <v>0.1</v>
      </c>
    </row>
    <row r="10" spans="2:3" x14ac:dyDescent="0.35">
      <c r="B10" s="123" t="s">
        <v>112</v>
      </c>
      <c r="C10" s="124">
        <v>0.1</v>
      </c>
    </row>
    <row r="11" spans="2:3" x14ac:dyDescent="0.35">
      <c r="B11" s="123" t="s">
        <v>113</v>
      </c>
      <c r="C11" s="125">
        <v>0.6</v>
      </c>
    </row>
    <row r="12" spans="2:3" x14ac:dyDescent="0.35">
      <c r="B12" s="123" t="s">
        <v>114</v>
      </c>
      <c r="C12" s="125">
        <v>0.6</v>
      </c>
    </row>
    <row r="13" spans="2:3" x14ac:dyDescent="0.35">
      <c r="B13" s="123" t="s">
        <v>115</v>
      </c>
      <c r="C13" s="124">
        <v>6</v>
      </c>
    </row>
    <row r="14" spans="2:3" x14ac:dyDescent="0.35">
      <c r="B1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A3464-D53D-46E5-9A05-685608CC13B7}">
  <sheetPr codeName="Sheet4"/>
  <dimension ref="B1:G45"/>
  <sheetViews>
    <sheetView showGridLines="0" zoomScaleNormal="100" workbookViewId="0">
      <selection activeCell="D3" sqref="D3:G22"/>
    </sheetView>
  </sheetViews>
  <sheetFormatPr defaultRowHeight="14.5" outlineLevelCol="1" x14ac:dyDescent="0.35"/>
  <cols>
    <col min="1" max="1" width="8.7265625" style="20"/>
    <col min="2" max="2" width="6.81640625" style="20" customWidth="1"/>
    <col min="3" max="3" width="28.453125" style="20" hidden="1" customWidth="1" outlineLevel="1"/>
    <col min="4" max="4" width="11.6328125" style="20" bestFit="1" customWidth="1" collapsed="1"/>
    <col min="5" max="5" width="52.81640625" style="20" bestFit="1" customWidth="1"/>
    <col min="6" max="6" width="11.81640625" style="20" bestFit="1" customWidth="1"/>
    <col min="7" max="7" width="14.26953125" style="20" bestFit="1" customWidth="1"/>
    <col min="8" max="16384" width="8.7265625" style="20"/>
  </cols>
  <sheetData>
    <row r="1" spans="2:7" ht="15" thickBot="1" x14ac:dyDescent="0.4"/>
    <row r="2" spans="2:7" ht="15" thickBot="1" x14ac:dyDescent="0.4">
      <c r="B2" s="21" t="s">
        <v>763</v>
      </c>
      <c r="C2" s="22" t="s">
        <v>764</v>
      </c>
      <c r="D2" s="23" t="s">
        <v>116</v>
      </c>
      <c r="E2" s="22" t="s">
        <v>119</v>
      </c>
      <c r="F2" s="22" t="s">
        <v>765</v>
      </c>
      <c r="G2" s="24" t="s">
        <v>766</v>
      </c>
    </row>
    <row r="3" spans="2:7" ht="15" thickTop="1" x14ac:dyDescent="0.35">
      <c r="B3" s="25">
        <v>1</v>
      </c>
      <c r="C3" s="26" t="str" cm="1">
        <f t="array" ref="C3:C22">C26:C45</f>
        <v>ReservesIR/PUP/NFI/SUSP_Pct</v>
      </c>
      <c r="D3" s="27" cm="1">
        <f t="array" ref="D3:D22">INDEX(Features!$B$3:$B$370,MATCH($C$3:$C$22,Features!$C$3:$C$370,0))</f>
        <v>6</v>
      </c>
      <c r="E3" s="26" t="str" cm="1">
        <f t="array" ref="E3:E22">INDEX(Features!$E$3:$E$370,MATCH($C$3:$C$22,Features!$C$3:$C$370,0))</f>
        <v>Reserve/injured/suspended cap as percentage of maximum</v>
      </c>
      <c r="F3" s="28" cm="1">
        <f t="array" ref="F3:G22">IF(D26:E45="","",D26:E45)</f>
        <v>2.2554999999999999E-2</v>
      </c>
      <c r="G3" s="29" t="str">
        <v/>
      </c>
    </row>
    <row r="4" spans="2:7" x14ac:dyDescent="0.35">
      <c r="B4" s="30">
        <v>2</v>
      </c>
      <c r="C4" s="31" t="str">
        <v>Team_Int_Passing_Norm</v>
      </c>
      <c r="D4" s="32">
        <v>193</v>
      </c>
      <c r="E4" s="31" t="str">
        <v>Normalized team interceptions thrown</v>
      </c>
      <c r="F4" s="33">
        <v>1.4893999999999999E-2</v>
      </c>
      <c r="G4" s="34" t="str">
        <v/>
      </c>
    </row>
    <row r="5" spans="2:7" x14ac:dyDescent="0.35">
      <c r="B5" s="30">
        <v>3</v>
      </c>
      <c r="C5" s="31" t="str">
        <v>Opp_Int_Passing_Norm</v>
      </c>
      <c r="D5" s="32">
        <v>196</v>
      </c>
      <c r="E5" s="31" t="str">
        <v>Normalized opponent interceptions thrown</v>
      </c>
      <c r="F5" s="33">
        <v>1.4399E-2</v>
      </c>
      <c r="G5" s="34" t="str">
        <v/>
      </c>
    </row>
    <row r="6" spans="2:7" x14ac:dyDescent="0.35">
      <c r="B6" s="30">
        <v>4</v>
      </c>
      <c r="C6" s="31" t="str">
        <v>QB_Max_Games_Missed_Pct</v>
      </c>
      <c r="D6" s="32">
        <v>114</v>
      </c>
      <c r="E6" s="31" t="str">
        <v>Maximum percentage of games missed by a QB</v>
      </c>
      <c r="F6" s="33">
        <v>1.2807000000000001E-2</v>
      </c>
      <c r="G6" s="34" t="str">
        <v/>
      </c>
    </row>
    <row r="7" spans="2:7" x14ac:dyDescent="0.35">
      <c r="B7" s="30">
        <v>5</v>
      </c>
      <c r="C7" s="31" t="str">
        <v>PF (Points For)__hc_Norm</v>
      </c>
      <c r="D7" s="32">
        <v>302</v>
      </c>
      <c r="E7" s="31" t="str">
        <v>Normalized points scored under HC</v>
      </c>
      <c r="F7" s="33">
        <v>1.1941999999999999E-2</v>
      </c>
      <c r="G7" s="34" t="str">
        <v>Yes</v>
      </c>
    </row>
    <row r="8" spans="2:7" x14ac:dyDescent="0.35">
      <c r="B8" s="30">
        <v>6</v>
      </c>
      <c r="C8" s="31" t="str">
        <v>PF (Points For)__opp__hc_Norm</v>
      </c>
      <c r="D8" s="32">
        <v>335</v>
      </c>
      <c r="E8" s="31" t="str">
        <v>Normalized points allowed under HC</v>
      </c>
      <c r="F8" s="33">
        <v>1.1936E-2</v>
      </c>
      <c r="G8" s="34" t="str">
        <v>Yes</v>
      </c>
    </row>
    <row r="9" spans="2:7" x14ac:dyDescent="0.35">
      <c r="B9" s="30">
        <v>7</v>
      </c>
      <c r="C9" s="31" t="str">
        <v>QB_Min_Games_Missed_Pct</v>
      </c>
      <c r="D9" s="32">
        <v>115</v>
      </c>
      <c r="E9" s="31" t="str">
        <v>Minimum percentage of games missed by a QB</v>
      </c>
      <c r="F9" s="33">
        <v>1.167E-2</v>
      </c>
      <c r="G9" s="34" t="str">
        <v/>
      </c>
    </row>
    <row r="10" spans="2:7" x14ac:dyDescent="0.35">
      <c r="B10" s="30">
        <v>8</v>
      </c>
      <c r="C10" s="31" t="str">
        <v>Active53-Man_Pct</v>
      </c>
      <c r="D10" s="32">
        <v>5</v>
      </c>
      <c r="E10" s="31" t="str">
        <v>Active 53-man roster cap as percentage of maximum</v>
      </c>
      <c r="F10" s="33">
        <v>1.1634E-2</v>
      </c>
      <c r="G10" s="34" t="str">
        <v/>
      </c>
    </row>
    <row r="11" spans="2:7" x14ac:dyDescent="0.35">
      <c r="B11" s="30">
        <v>9</v>
      </c>
      <c r="C11" s="31" t="str">
        <v>Yds__opp__hc_Norm</v>
      </c>
      <c r="D11" s="32">
        <v>336</v>
      </c>
      <c r="E11" s="31" t="str">
        <v>Normalized yards allowed under HC</v>
      </c>
      <c r="F11" s="33">
        <v>1.1449000000000001E-2</v>
      </c>
      <c r="G11" s="34" t="str">
        <v>Yes</v>
      </c>
    </row>
    <row r="12" spans="2:7" x14ac:dyDescent="0.35">
      <c r="B12" s="30">
        <v>10</v>
      </c>
      <c r="C12" s="31" t="str">
        <v>Sc%__opp__hc_Norm</v>
      </c>
      <c r="D12" s="32">
        <v>356</v>
      </c>
      <c r="E12" s="31" t="str">
        <v>Normalized opponent scoring percentage under HC</v>
      </c>
      <c r="F12" s="33">
        <v>1.0777E-2</v>
      </c>
      <c r="G12" s="34" t="str">
        <v>Yes</v>
      </c>
    </row>
    <row r="13" spans="2:7" x14ac:dyDescent="0.35">
      <c r="B13" s="30">
        <v>11</v>
      </c>
      <c r="C13" s="31" t="str">
        <v>Pts Average Drive__opp__hc_Norm</v>
      </c>
      <c r="D13" s="32">
        <v>361</v>
      </c>
      <c r="E13" s="31" t="str">
        <v>Normalized opponent average points per drive under HC</v>
      </c>
      <c r="F13" s="33">
        <v>1.065E-2</v>
      </c>
      <c r="G13" s="34" t="str">
        <v>Yes</v>
      </c>
    </row>
    <row r="14" spans="2:7" x14ac:dyDescent="0.35">
      <c r="B14" s="30">
        <v>12</v>
      </c>
      <c r="C14" s="31" t="str">
        <v>QB_Avg_Games_Missed_Pct</v>
      </c>
      <c r="D14" s="32">
        <v>113</v>
      </c>
      <c r="E14" s="31" t="str">
        <v>Average percentage of games missed by QBs</v>
      </c>
      <c r="F14" s="33">
        <v>8.7139999999999995E-3</v>
      </c>
      <c r="G14" s="34" t="str">
        <v/>
      </c>
    </row>
    <row r="15" spans="2:7" x14ac:dyDescent="0.35">
      <c r="B15" s="30">
        <v>13</v>
      </c>
      <c r="C15" s="31" t="str">
        <v>Avg_Starter_Experience</v>
      </c>
      <c r="D15" s="32">
        <v>151</v>
      </c>
      <c r="E15" s="31" t="str">
        <v>Average experience of all starters</v>
      </c>
      <c r="F15" s="33">
        <v>8.1969999999999994E-3</v>
      </c>
      <c r="G15" s="34" t="str">
        <v/>
      </c>
    </row>
    <row r="16" spans="2:7" x14ac:dyDescent="0.35">
      <c r="B16" s="30">
        <v>14</v>
      </c>
      <c r="C16" s="31" t="str">
        <v>Y/P__opp__hc_Norm</v>
      </c>
      <c r="D16" s="32">
        <v>337</v>
      </c>
      <c r="E16" s="31" t="str">
        <v>Normalized yards per play allowed under HC</v>
      </c>
      <c r="F16" s="33">
        <v>7.626E-3</v>
      </c>
      <c r="G16" s="34" t="str">
        <v>Yes</v>
      </c>
    </row>
    <row r="17" spans="2:7" x14ac:dyDescent="0.35">
      <c r="B17" s="30">
        <v>15</v>
      </c>
      <c r="C17" s="31" t="str">
        <v>Avg_Roster_Exp_QB</v>
      </c>
      <c r="D17" s="32">
        <v>160</v>
      </c>
      <c r="E17" s="31" t="str">
        <v>Average experience of all QBs on roster</v>
      </c>
      <c r="F17" s="33">
        <v>7.4780000000000003E-3</v>
      </c>
      <c r="G17" s="34" t="str">
        <v/>
      </c>
    </row>
    <row r="18" spans="2:7" x14ac:dyDescent="0.35">
      <c r="B18" s="30">
        <v>16</v>
      </c>
      <c r="C18" s="31" t="str">
        <v>NY/A Passing__opp__hc_Norm</v>
      </c>
      <c r="D18" s="32">
        <v>345</v>
      </c>
      <c r="E18" s="31" t="str">
        <v>Normalized net yards per pass allowed under HC</v>
      </c>
      <c r="F18" s="33">
        <v>7.378E-3</v>
      </c>
      <c r="G18" s="34" t="str">
        <v>Yes</v>
      </c>
    </row>
    <row r="19" spans="2:7" x14ac:dyDescent="0.35">
      <c r="B19" s="30">
        <v>17</v>
      </c>
      <c r="C19" s="31" t="str">
        <v>QB_Players_New</v>
      </c>
      <c r="D19" s="32">
        <v>24</v>
      </c>
      <c r="E19" s="31" t="str">
        <v>Number of new QBs added to roster</v>
      </c>
      <c r="F19" s="33">
        <v>6.515E-3</v>
      </c>
      <c r="G19" s="34" t="str">
        <v/>
      </c>
    </row>
    <row r="20" spans="2:7" x14ac:dyDescent="0.35">
      <c r="B20" s="30">
        <v>18</v>
      </c>
      <c r="C20" s="31" t="str">
        <v>4DAtt__oc_Norm</v>
      </c>
      <c r="D20" s="32">
        <v>265</v>
      </c>
      <c r="E20" s="31" t="str">
        <v>Normalized fourth down attempts under OC</v>
      </c>
      <c r="F20" s="33">
        <v>6.3369999999999998E-3</v>
      </c>
      <c r="G20" s="34" t="str">
        <v>Yes</v>
      </c>
    </row>
    <row r="21" spans="2:7" x14ac:dyDescent="0.35">
      <c r="B21" s="30">
        <v>19</v>
      </c>
      <c r="C21" s="31" t="str">
        <v>QB_New_Player_Rate_Pct</v>
      </c>
      <c r="D21" s="32">
        <v>27</v>
      </c>
      <c r="E21" s="31" t="str">
        <v>Percentage of new QBs on roster</v>
      </c>
      <c r="F21" s="33">
        <v>6.3369999999999998E-3</v>
      </c>
      <c r="G21" s="34" t="str">
        <v/>
      </c>
    </row>
    <row r="22" spans="2:7" ht="15" thickBot="1" x14ac:dyDescent="0.4">
      <c r="B22" s="35">
        <v>20</v>
      </c>
      <c r="C22" s="36" t="str">
        <v>QB_Departure_Rate_Pct</v>
      </c>
      <c r="D22" s="37">
        <v>26</v>
      </c>
      <c r="E22" s="36" t="str">
        <v>Percentage of QBs departed from previous year</v>
      </c>
      <c r="F22" s="38">
        <v>6.2579999999999997E-3</v>
      </c>
      <c r="G22" s="39" t="str">
        <v/>
      </c>
    </row>
    <row r="24" spans="2:7" x14ac:dyDescent="0.35">
      <c r="B24" s="20" t="s">
        <v>763</v>
      </c>
      <c r="C24" s="20" t="s">
        <v>764</v>
      </c>
      <c r="D24" s="20" t="s">
        <v>765</v>
      </c>
      <c r="E24" s="20" t="s">
        <v>766</v>
      </c>
    </row>
    <row r="25" spans="2:7" x14ac:dyDescent="0.35">
      <c r="B25" s="20" t="s">
        <v>772</v>
      </c>
      <c r="C25" s="20" t="s">
        <v>806</v>
      </c>
      <c r="D25" s="20" t="s">
        <v>807</v>
      </c>
      <c r="E25" s="20" t="s">
        <v>795</v>
      </c>
    </row>
    <row r="26" spans="2:7" x14ac:dyDescent="0.35">
      <c r="B26" s="20">
        <v>1</v>
      </c>
      <c r="C26" s="20" t="s">
        <v>130</v>
      </c>
      <c r="D26" s="20">
        <v>2.2554999999999999E-2</v>
      </c>
    </row>
    <row r="27" spans="2:7" x14ac:dyDescent="0.35">
      <c r="B27" s="20">
        <v>2</v>
      </c>
      <c r="C27" s="20" t="s">
        <v>390</v>
      </c>
      <c r="D27" s="20">
        <v>1.4893999999999999E-2</v>
      </c>
    </row>
    <row r="28" spans="2:7" x14ac:dyDescent="0.35">
      <c r="B28" s="20">
        <v>3</v>
      </c>
      <c r="C28" s="20" t="s">
        <v>396</v>
      </c>
      <c r="D28" s="20">
        <v>1.4399E-2</v>
      </c>
    </row>
    <row r="29" spans="2:7" x14ac:dyDescent="0.35">
      <c r="B29" s="20">
        <v>4</v>
      </c>
      <c r="C29" s="20" t="s">
        <v>267</v>
      </c>
      <c r="D29" s="20">
        <v>1.2807000000000001E-2</v>
      </c>
    </row>
    <row r="30" spans="2:7" x14ac:dyDescent="0.35">
      <c r="B30" s="20">
        <v>5</v>
      </c>
      <c r="C30" s="20" t="s">
        <v>584</v>
      </c>
      <c r="D30" s="20">
        <v>1.1941999999999999E-2</v>
      </c>
      <c r="E30" s="20" t="s">
        <v>733</v>
      </c>
    </row>
    <row r="31" spans="2:7" x14ac:dyDescent="0.35">
      <c r="B31" s="20">
        <v>6</v>
      </c>
      <c r="C31" s="20" t="s">
        <v>650</v>
      </c>
      <c r="D31" s="20">
        <v>1.1936E-2</v>
      </c>
      <c r="E31" s="20" t="s">
        <v>733</v>
      </c>
    </row>
    <row r="32" spans="2:7" x14ac:dyDescent="0.35">
      <c r="B32" s="20">
        <v>7</v>
      </c>
      <c r="C32" s="20" t="s">
        <v>268</v>
      </c>
      <c r="D32" s="20">
        <v>1.167E-2</v>
      </c>
    </row>
    <row r="33" spans="2:5" x14ac:dyDescent="0.35">
      <c r="B33" s="20">
        <v>8</v>
      </c>
      <c r="C33" s="20" t="s">
        <v>128</v>
      </c>
      <c r="D33" s="20">
        <v>1.1634E-2</v>
      </c>
    </row>
    <row r="34" spans="2:5" x14ac:dyDescent="0.35">
      <c r="B34" s="20">
        <v>9</v>
      </c>
      <c r="C34" s="20" t="s">
        <v>652</v>
      </c>
      <c r="D34" s="20">
        <v>1.1449000000000001E-2</v>
      </c>
      <c r="E34" s="20" t="s">
        <v>733</v>
      </c>
    </row>
    <row r="35" spans="2:5" x14ac:dyDescent="0.35">
      <c r="B35" s="20">
        <v>10</v>
      </c>
      <c r="C35" s="20" t="s">
        <v>692</v>
      </c>
      <c r="D35" s="20">
        <v>1.0777E-2</v>
      </c>
      <c r="E35" s="20" t="s">
        <v>733</v>
      </c>
    </row>
    <row r="36" spans="2:5" x14ac:dyDescent="0.35">
      <c r="B36" s="20">
        <v>11</v>
      </c>
      <c r="C36" s="20" t="s">
        <v>702</v>
      </c>
      <c r="D36" s="20">
        <v>1.065E-2</v>
      </c>
      <c r="E36" s="20" t="s">
        <v>733</v>
      </c>
    </row>
    <row r="37" spans="2:5" x14ac:dyDescent="0.35">
      <c r="B37" s="20">
        <v>12</v>
      </c>
      <c r="C37" s="20" t="s">
        <v>266</v>
      </c>
      <c r="D37" s="20">
        <v>8.7139999999999995E-3</v>
      </c>
    </row>
    <row r="38" spans="2:5" x14ac:dyDescent="0.35">
      <c r="B38" s="20">
        <v>13</v>
      </c>
      <c r="C38" s="20" t="s">
        <v>306</v>
      </c>
      <c r="D38" s="20">
        <v>8.1969999999999994E-3</v>
      </c>
    </row>
    <row r="39" spans="2:5" x14ac:dyDescent="0.35">
      <c r="B39" s="20">
        <v>14</v>
      </c>
      <c r="C39" s="20" t="s">
        <v>654</v>
      </c>
      <c r="D39" s="20">
        <v>7.626E-3</v>
      </c>
      <c r="E39" s="20" t="s">
        <v>733</v>
      </c>
    </row>
    <row r="40" spans="2:5" x14ac:dyDescent="0.35">
      <c r="B40" s="20">
        <v>15</v>
      </c>
      <c r="C40" s="20" t="s">
        <v>324</v>
      </c>
      <c r="D40" s="20">
        <v>7.4780000000000003E-3</v>
      </c>
    </row>
    <row r="41" spans="2:5" x14ac:dyDescent="0.35">
      <c r="B41" s="20">
        <v>16</v>
      </c>
      <c r="C41" s="20" t="s">
        <v>670</v>
      </c>
      <c r="D41" s="20">
        <v>7.378E-3</v>
      </c>
      <c r="E41" s="20" t="s">
        <v>733</v>
      </c>
    </row>
    <row r="42" spans="2:5" x14ac:dyDescent="0.35">
      <c r="B42" s="20">
        <v>17</v>
      </c>
      <c r="C42" s="20" t="s">
        <v>137</v>
      </c>
      <c r="D42" s="20">
        <v>6.515E-3</v>
      </c>
    </row>
    <row r="43" spans="2:5" x14ac:dyDescent="0.35">
      <c r="B43" s="20">
        <v>18</v>
      </c>
      <c r="C43" s="20" t="s">
        <v>510</v>
      </c>
      <c r="D43" s="20">
        <v>6.3369999999999998E-3</v>
      </c>
      <c r="E43" s="20" t="s">
        <v>733</v>
      </c>
    </row>
    <row r="44" spans="2:5" x14ac:dyDescent="0.35">
      <c r="B44" s="20">
        <v>19</v>
      </c>
      <c r="C44" s="20" t="s">
        <v>141</v>
      </c>
      <c r="D44" s="20">
        <v>6.3369999999999998E-3</v>
      </c>
    </row>
    <row r="45" spans="2:5" x14ac:dyDescent="0.35">
      <c r="B45" s="20">
        <v>20</v>
      </c>
      <c r="C45" s="20" t="s">
        <v>140</v>
      </c>
      <c r="D45" s="20">
        <v>6.2579999999999997E-3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CB0D-7AA5-46B7-B208-6DBB8BFFB381}">
  <sheetPr codeName="Sheet5"/>
  <dimension ref="B1:P25"/>
  <sheetViews>
    <sheetView showGridLines="0" zoomScale="115" zoomScaleNormal="115" workbookViewId="0">
      <selection activeCell="F31" sqref="F31"/>
    </sheetView>
  </sheetViews>
  <sheetFormatPr defaultRowHeight="14.5" x14ac:dyDescent="0.35"/>
  <cols>
    <col min="1" max="1" width="8.7265625" style="20"/>
    <col min="2" max="2" width="6.81640625" style="20" customWidth="1"/>
    <col min="3" max="3" width="9.26953125" style="40" customWidth="1"/>
    <col min="4" max="4" width="8.453125" style="40" customWidth="1"/>
    <col min="5" max="5" width="17.54296875" style="20" bestFit="1" customWidth="1"/>
    <col min="6" max="6" width="12.7265625" style="40" customWidth="1"/>
    <col min="7" max="7" width="13.26953125" style="40" bestFit="1" customWidth="1"/>
    <col min="8" max="8" width="8.7265625" style="40"/>
    <col min="9" max="16384" width="8.7265625" style="20"/>
  </cols>
  <sheetData>
    <row r="1" spans="2:16" ht="15" thickBot="1" x14ac:dyDescent="0.4">
      <c r="J1" s="20" t="s">
        <v>120</v>
      </c>
      <c r="K1" s="20" t="s">
        <v>123</v>
      </c>
      <c r="L1" s="20" t="s">
        <v>767</v>
      </c>
      <c r="M1" s="20" t="s">
        <v>768</v>
      </c>
      <c r="N1" s="20" t="s">
        <v>769</v>
      </c>
      <c r="O1" s="20" t="s">
        <v>770</v>
      </c>
      <c r="P1" s="20" t="s">
        <v>771</v>
      </c>
    </row>
    <row r="2" spans="2:16" s="55" customFormat="1" ht="28.5" thickBot="1" x14ac:dyDescent="0.4">
      <c r="B2" s="51" t="s">
        <v>763</v>
      </c>
      <c r="C2" s="52" t="s">
        <v>120</v>
      </c>
      <c r="D2" s="52" t="s">
        <v>123</v>
      </c>
      <c r="E2" s="53" t="s">
        <v>767</v>
      </c>
      <c r="F2" s="52" t="s">
        <v>789</v>
      </c>
      <c r="G2" s="52" t="s">
        <v>790</v>
      </c>
      <c r="H2" s="54" t="s">
        <v>770</v>
      </c>
      <c r="J2" s="20" t="s">
        <v>772</v>
      </c>
      <c r="K2" s="55" t="s">
        <v>773</v>
      </c>
      <c r="L2" s="55" t="s">
        <v>774</v>
      </c>
      <c r="M2" s="55" t="s">
        <v>775</v>
      </c>
      <c r="N2" s="55" t="s">
        <v>776</v>
      </c>
      <c r="O2" s="55" t="s">
        <v>777</v>
      </c>
      <c r="P2" s="55" t="s">
        <v>778</v>
      </c>
    </row>
    <row r="3" spans="2:16" ht="15" thickTop="1" x14ac:dyDescent="0.35">
      <c r="B3" s="25">
        <v>1</v>
      </c>
      <c r="C3" s="27" t="str" cm="1">
        <f t="array" ref="C3:G12">J3:N12</f>
        <v>CHI</v>
      </c>
      <c r="D3" s="27">
        <v>1987</v>
      </c>
      <c r="E3" s="42" t="str">
        <v>Mike Ditka</v>
      </c>
      <c r="F3" s="28">
        <v>0.73299999999999998</v>
      </c>
      <c r="G3" s="28">
        <v>0.29099999999999998</v>
      </c>
      <c r="H3" s="48" cm="1">
        <f t="array" ref="H3:H12">(F3:F12-G3:G12)*16</f>
        <v>7.0720000000000001</v>
      </c>
      <c r="J3" s="20" t="s">
        <v>781</v>
      </c>
      <c r="K3" s="20">
        <v>1987</v>
      </c>
      <c r="L3" s="20" t="s">
        <v>782</v>
      </c>
      <c r="M3" s="20">
        <v>0.73299999999999998</v>
      </c>
      <c r="N3" s="20">
        <v>0.29099999999999998</v>
      </c>
      <c r="O3" s="20">
        <v>0.442</v>
      </c>
      <c r="P3" s="20">
        <v>0.154</v>
      </c>
    </row>
    <row r="4" spans="2:16" x14ac:dyDescent="0.35">
      <c r="B4" s="30">
        <v>2</v>
      </c>
      <c r="C4" s="32" t="str">
        <v>CLT</v>
      </c>
      <c r="D4" s="32">
        <v>2009</v>
      </c>
      <c r="E4" s="43" t="str">
        <v>Jim Caldwell</v>
      </c>
      <c r="F4" s="33">
        <v>0.875</v>
      </c>
      <c r="G4" s="33">
        <v>0.46600000000000003</v>
      </c>
      <c r="H4" s="49">
        <v>6.5439999999999996</v>
      </c>
      <c r="J4" s="20" t="s">
        <v>779</v>
      </c>
      <c r="K4" s="20">
        <v>2009</v>
      </c>
      <c r="L4" s="20" t="s">
        <v>780</v>
      </c>
      <c r="M4" s="20">
        <v>0.875</v>
      </c>
      <c r="N4" s="20">
        <v>0.46600000000000003</v>
      </c>
      <c r="O4" s="20">
        <v>0.40899999999999997</v>
      </c>
      <c r="P4" s="20">
        <v>9.7000000000000003E-2</v>
      </c>
    </row>
    <row r="5" spans="2:16" x14ac:dyDescent="0.35">
      <c r="B5" s="30">
        <v>3</v>
      </c>
      <c r="C5" s="32" t="str">
        <v>WAS</v>
      </c>
      <c r="D5" s="32">
        <v>1982</v>
      </c>
      <c r="E5" s="43" t="str">
        <v>Joe Gibbs</v>
      </c>
      <c r="F5" s="33">
        <v>0.88900000000000001</v>
      </c>
      <c r="G5" s="33">
        <v>0.51900000000000002</v>
      </c>
      <c r="H5" s="49">
        <v>5.92</v>
      </c>
      <c r="J5" s="20" t="s">
        <v>783</v>
      </c>
      <c r="K5" s="20">
        <v>1982</v>
      </c>
      <c r="L5" s="20" t="s">
        <v>784</v>
      </c>
      <c r="M5" s="20">
        <v>0.88900000000000001</v>
      </c>
      <c r="N5" s="20">
        <v>0.51900000000000002</v>
      </c>
      <c r="O5" s="20">
        <v>0.37</v>
      </c>
      <c r="P5" s="20">
        <v>7.6999999999999999E-2</v>
      </c>
    </row>
    <row r="6" spans="2:16" x14ac:dyDescent="0.35">
      <c r="B6" s="30">
        <v>4</v>
      </c>
      <c r="C6" s="32" t="str">
        <v>RAI</v>
      </c>
      <c r="D6" s="32">
        <v>1976</v>
      </c>
      <c r="E6" s="43" t="str">
        <v>John Madden</v>
      </c>
      <c r="F6" s="33">
        <v>0.92900000000000005</v>
      </c>
      <c r="G6" s="33">
        <v>0.61699999999999999</v>
      </c>
      <c r="H6" s="49">
        <v>4.9920000000000009</v>
      </c>
      <c r="J6" s="20" t="s">
        <v>787</v>
      </c>
      <c r="K6" s="20">
        <v>1976</v>
      </c>
      <c r="L6" s="20" t="s">
        <v>799</v>
      </c>
      <c r="M6" s="20">
        <v>0.92900000000000005</v>
      </c>
      <c r="N6" s="20">
        <v>0.61699999999999999</v>
      </c>
      <c r="O6" s="20">
        <v>0.312</v>
      </c>
      <c r="P6" s="20">
        <v>9.2999999999999999E-2</v>
      </c>
    </row>
    <row r="7" spans="2:16" x14ac:dyDescent="0.35">
      <c r="B7" s="30">
        <v>5</v>
      </c>
      <c r="C7" s="32" t="str">
        <v>DET</v>
      </c>
      <c r="D7" s="32">
        <v>2024</v>
      </c>
      <c r="E7" s="43" t="str">
        <v>Dan Campbell</v>
      </c>
      <c r="F7" s="33">
        <v>0.88200000000000001</v>
      </c>
      <c r="G7" s="33">
        <v>0.57099999999999995</v>
      </c>
      <c r="H7" s="49">
        <v>4.9760000000000009</v>
      </c>
      <c r="J7" s="20" t="s">
        <v>808</v>
      </c>
      <c r="K7" s="20">
        <v>2024</v>
      </c>
      <c r="L7" s="20" t="s">
        <v>812</v>
      </c>
      <c r="M7" s="20">
        <v>0.88200000000000001</v>
      </c>
      <c r="N7" s="20">
        <v>0.57099999999999995</v>
      </c>
      <c r="O7" s="20">
        <v>0.312</v>
      </c>
      <c r="P7" s="20">
        <v>7.2999999999999995E-2</v>
      </c>
    </row>
    <row r="8" spans="2:16" x14ac:dyDescent="0.35">
      <c r="B8" s="30">
        <v>6</v>
      </c>
      <c r="C8" s="32" t="str">
        <v>SFO</v>
      </c>
      <c r="D8" s="32">
        <v>1987</v>
      </c>
      <c r="E8" s="43" t="str">
        <v>Bill Walsh</v>
      </c>
      <c r="F8" s="33">
        <v>0.86699999999999999</v>
      </c>
      <c r="G8" s="33">
        <v>0.55800000000000005</v>
      </c>
      <c r="H8" s="49">
        <v>4.9439999999999991</v>
      </c>
      <c r="J8" s="20" t="s">
        <v>815</v>
      </c>
      <c r="K8" s="20">
        <v>1987</v>
      </c>
      <c r="L8" s="20" t="s">
        <v>816</v>
      </c>
      <c r="M8" s="20">
        <v>0.86699999999999999</v>
      </c>
      <c r="N8" s="20">
        <v>0.55800000000000005</v>
      </c>
      <c r="O8" s="20">
        <v>0.309</v>
      </c>
      <c r="P8" s="20">
        <v>7.0000000000000007E-2</v>
      </c>
    </row>
    <row r="9" spans="2:16" x14ac:dyDescent="0.35">
      <c r="B9" s="30">
        <v>7</v>
      </c>
      <c r="C9" s="32" t="str">
        <v>NYG</v>
      </c>
      <c r="D9" s="32">
        <v>1986</v>
      </c>
      <c r="E9" s="43" t="str">
        <v>Bill Parcells</v>
      </c>
      <c r="F9" s="33">
        <v>0.875</v>
      </c>
      <c r="G9" s="33">
        <v>0.56899999999999995</v>
      </c>
      <c r="H9" s="49">
        <v>4.8960000000000008</v>
      </c>
      <c r="J9" s="20" t="s">
        <v>930</v>
      </c>
      <c r="K9" s="20">
        <v>1986</v>
      </c>
      <c r="L9" s="20" t="s">
        <v>931</v>
      </c>
      <c r="M9" s="20">
        <v>0.875</v>
      </c>
      <c r="N9" s="20">
        <v>0.56899999999999995</v>
      </c>
      <c r="O9" s="20">
        <v>0.30599999999999999</v>
      </c>
      <c r="P9" s="20">
        <v>9.5000000000000001E-2</v>
      </c>
    </row>
    <row r="10" spans="2:16" x14ac:dyDescent="0.35">
      <c r="B10" s="30">
        <v>8</v>
      </c>
      <c r="C10" s="32" t="str">
        <v>RAI</v>
      </c>
      <c r="D10" s="32">
        <v>1982</v>
      </c>
      <c r="E10" s="43" t="str">
        <v>Tom Flores</v>
      </c>
      <c r="F10" s="33">
        <v>0.88900000000000001</v>
      </c>
      <c r="G10" s="33">
        <v>0.58799999999999997</v>
      </c>
      <c r="H10" s="49">
        <v>4.8160000000000007</v>
      </c>
      <c r="J10" s="20" t="s">
        <v>787</v>
      </c>
      <c r="K10" s="20">
        <v>1982</v>
      </c>
      <c r="L10" s="20" t="s">
        <v>788</v>
      </c>
      <c r="M10" s="20">
        <v>0.88900000000000001</v>
      </c>
      <c r="N10" s="20">
        <v>0.58799999999999997</v>
      </c>
      <c r="O10" s="20">
        <v>0.30099999999999999</v>
      </c>
      <c r="P10" s="20">
        <v>8.7999999999999995E-2</v>
      </c>
    </row>
    <row r="11" spans="2:16" x14ac:dyDescent="0.35">
      <c r="B11" s="30">
        <v>9</v>
      </c>
      <c r="C11" s="32" t="str">
        <v>NOR</v>
      </c>
      <c r="D11" s="32">
        <v>2011</v>
      </c>
      <c r="E11" s="43" t="str">
        <v>Sean Payton</v>
      </c>
      <c r="F11" s="33">
        <v>0.81200000000000006</v>
      </c>
      <c r="G11" s="33">
        <v>0.51500000000000001</v>
      </c>
      <c r="H11" s="49">
        <v>4.7520000000000007</v>
      </c>
      <c r="J11" s="20" t="s">
        <v>785</v>
      </c>
      <c r="K11" s="20">
        <v>2011</v>
      </c>
      <c r="L11" s="20" t="s">
        <v>786</v>
      </c>
      <c r="M11" s="20">
        <v>0.81200000000000006</v>
      </c>
      <c r="N11" s="20">
        <v>0.51500000000000001</v>
      </c>
      <c r="O11" s="20">
        <v>0.29799999999999999</v>
      </c>
      <c r="P11" s="20">
        <v>7.2999999999999995E-2</v>
      </c>
    </row>
    <row r="12" spans="2:16" ht="15" thickBot="1" x14ac:dyDescent="0.4">
      <c r="B12" s="35">
        <v>10</v>
      </c>
      <c r="C12" s="37" t="str">
        <v>PIT</v>
      </c>
      <c r="D12" s="37">
        <v>2004</v>
      </c>
      <c r="E12" s="44" t="str">
        <v>Bill Cowher</v>
      </c>
      <c r="F12" s="38">
        <v>0.93799999999999994</v>
      </c>
      <c r="G12" s="38">
        <v>0.64100000000000001</v>
      </c>
      <c r="H12" s="50">
        <v>4.7519999999999989</v>
      </c>
      <c r="J12" s="20" t="s">
        <v>932</v>
      </c>
      <c r="K12" s="20">
        <v>2004</v>
      </c>
      <c r="L12" s="20" t="s">
        <v>933</v>
      </c>
      <c r="M12" s="20">
        <v>0.93799999999999994</v>
      </c>
      <c r="N12" s="20">
        <v>0.64100000000000001</v>
      </c>
      <c r="O12" s="20">
        <v>0.29599999999999999</v>
      </c>
      <c r="P12" s="20">
        <v>7.1999999999999995E-2</v>
      </c>
    </row>
    <row r="13" spans="2:16" x14ac:dyDescent="0.35">
      <c r="B13" s="115"/>
      <c r="C13" s="115"/>
      <c r="D13" s="115"/>
      <c r="E13" s="116"/>
      <c r="F13" s="117"/>
      <c r="G13" s="117"/>
      <c r="H13" s="118"/>
    </row>
    <row r="14" spans="2:16" ht="15" thickBot="1" x14ac:dyDescent="0.4">
      <c r="J14" s="20" t="s">
        <v>120</v>
      </c>
      <c r="K14" s="20" t="s">
        <v>123</v>
      </c>
      <c r="L14" s="20" t="s">
        <v>767</v>
      </c>
      <c r="M14" s="20" t="s">
        <v>768</v>
      </c>
      <c r="N14" s="20" t="s">
        <v>769</v>
      </c>
      <c r="O14" s="20" t="s">
        <v>770</v>
      </c>
      <c r="P14" s="20" t="s">
        <v>771</v>
      </c>
    </row>
    <row r="15" spans="2:16" ht="28.5" thickBot="1" x14ac:dyDescent="0.4">
      <c r="B15" s="51" t="s">
        <v>763</v>
      </c>
      <c r="C15" s="52" t="s">
        <v>120</v>
      </c>
      <c r="D15" s="52" t="s">
        <v>123</v>
      </c>
      <c r="E15" s="53" t="s">
        <v>767</v>
      </c>
      <c r="F15" s="52" t="s">
        <v>789</v>
      </c>
      <c r="G15" s="52" t="s">
        <v>790</v>
      </c>
      <c r="H15" s="54" t="s">
        <v>770</v>
      </c>
      <c r="J15" s="20" t="s">
        <v>772</v>
      </c>
      <c r="K15" s="20" t="s">
        <v>773</v>
      </c>
      <c r="L15" s="20" t="s">
        <v>774</v>
      </c>
      <c r="M15" s="20" t="s">
        <v>775</v>
      </c>
      <c r="N15" s="20" t="s">
        <v>776</v>
      </c>
      <c r="O15" s="20" t="s">
        <v>777</v>
      </c>
      <c r="P15" s="20" t="s">
        <v>778</v>
      </c>
    </row>
    <row r="16" spans="2:16" ht="15" thickTop="1" x14ac:dyDescent="0.35">
      <c r="B16" s="25">
        <v>1</v>
      </c>
      <c r="C16" s="27" t="str" cm="1">
        <f t="array" ref="C16:G25">J16:N25</f>
        <v>ATL</v>
      </c>
      <c r="D16" s="27">
        <v>2020</v>
      </c>
      <c r="E16" s="42" t="str">
        <v>Dan Quinn</v>
      </c>
      <c r="F16" s="28">
        <v>0</v>
      </c>
      <c r="G16" s="28">
        <v>0.52300000000000002</v>
      </c>
      <c r="H16" s="48" cm="1">
        <f t="array" ref="H16:H25">(F16:F25-G16:G25)*16</f>
        <v>-8.3680000000000003</v>
      </c>
      <c r="J16" s="20" t="s">
        <v>819</v>
      </c>
      <c r="K16" s="20">
        <v>2020</v>
      </c>
      <c r="L16" s="20" t="s">
        <v>820</v>
      </c>
      <c r="M16" s="20">
        <v>0</v>
      </c>
      <c r="N16" s="20">
        <v>0.52300000000000002</v>
      </c>
      <c r="O16" s="20">
        <v>-0.52300000000000002</v>
      </c>
      <c r="P16" s="20">
        <v>-0.123</v>
      </c>
    </row>
    <row r="17" spans="2:16" x14ac:dyDescent="0.35">
      <c r="B17" s="30">
        <v>2</v>
      </c>
      <c r="C17" s="32" t="str">
        <v>PHI</v>
      </c>
      <c r="D17" s="32">
        <v>1971</v>
      </c>
      <c r="E17" s="43" t="str">
        <v>Jerry Williams</v>
      </c>
      <c r="F17" s="33">
        <v>0</v>
      </c>
      <c r="G17" s="33">
        <v>0.442</v>
      </c>
      <c r="H17" s="49">
        <v>-7.0720000000000001</v>
      </c>
      <c r="J17" s="20" t="s">
        <v>934</v>
      </c>
      <c r="K17" s="20">
        <v>1971</v>
      </c>
      <c r="L17" s="20" t="s">
        <v>935</v>
      </c>
      <c r="M17" s="20">
        <v>0</v>
      </c>
      <c r="N17" s="20">
        <v>0.442</v>
      </c>
      <c r="O17" s="20">
        <v>-0.442</v>
      </c>
      <c r="P17" s="20">
        <v>-4.2999999999999997E-2</v>
      </c>
    </row>
    <row r="18" spans="2:16" x14ac:dyDescent="0.35">
      <c r="B18" s="30">
        <v>3</v>
      </c>
      <c r="C18" s="32" t="str">
        <v>CIN</v>
      </c>
      <c r="D18" s="32">
        <v>1996</v>
      </c>
      <c r="E18" s="43" t="str">
        <v>David Shula</v>
      </c>
      <c r="F18" s="33">
        <v>0.14299999999999999</v>
      </c>
      <c r="G18" s="33">
        <v>0.57499999999999996</v>
      </c>
      <c r="H18" s="49">
        <v>-6.911999999999999</v>
      </c>
      <c r="J18" s="20" t="s">
        <v>936</v>
      </c>
      <c r="K18" s="20">
        <v>1996</v>
      </c>
      <c r="L18" s="20" t="s">
        <v>937</v>
      </c>
      <c r="M18" s="20">
        <v>0.14299999999999999</v>
      </c>
      <c r="N18" s="20">
        <v>0.57499999999999996</v>
      </c>
      <c r="O18" s="20">
        <v>-0.432</v>
      </c>
      <c r="P18" s="20">
        <v>-0.14799999999999999</v>
      </c>
    </row>
    <row r="19" spans="2:16" x14ac:dyDescent="0.35">
      <c r="B19" s="30">
        <v>4</v>
      </c>
      <c r="C19" s="32" t="str">
        <v>HTX</v>
      </c>
      <c r="D19" s="32">
        <v>2020</v>
      </c>
      <c r="E19" s="43" t="str">
        <v>Bill O'Brien</v>
      </c>
      <c r="F19" s="33">
        <v>0</v>
      </c>
      <c r="G19" s="33">
        <v>0.41499999999999998</v>
      </c>
      <c r="H19" s="49">
        <v>-6.64</v>
      </c>
      <c r="J19" s="20" t="s">
        <v>938</v>
      </c>
      <c r="K19" s="20">
        <v>2020</v>
      </c>
      <c r="L19" s="20" t="s">
        <v>939</v>
      </c>
      <c r="M19" s="20">
        <v>0</v>
      </c>
      <c r="N19" s="20">
        <v>0.41499999999999998</v>
      </c>
      <c r="O19" s="20">
        <v>-0.41499999999999998</v>
      </c>
      <c r="P19" s="20">
        <v>2.7E-2</v>
      </c>
    </row>
    <row r="20" spans="2:16" x14ac:dyDescent="0.35">
      <c r="B20" s="30">
        <v>5</v>
      </c>
      <c r="C20" s="32" t="str">
        <v>SEA</v>
      </c>
      <c r="D20" s="32">
        <v>1982</v>
      </c>
      <c r="E20" s="43" t="str">
        <v>Jack Patera</v>
      </c>
      <c r="F20" s="33">
        <v>0</v>
      </c>
      <c r="G20" s="33">
        <v>0.39800000000000002</v>
      </c>
      <c r="H20" s="49">
        <v>-6.3680000000000003</v>
      </c>
      <c r="J20" s="20" t="s">
        <v>817</v>
      </c>
      <c r="K20" s="20">
        <v>1982</v>
      </c>
      <c r="L20" s="20" t="s">
        <v>818</v>
      </c>
      <c r="M20" s="20">
        <v>0</v>
      </c>
      <c r="N20" s="20">
        <v>0.39800000000000002</v>
      </c>
      <c r="O20" s="20">
        <v>-0.39800000000000002</v>
      </c>
      <c r="P20" s="20">
        <v>0.03</v>
      </c>
    </row>
    <row r="21" spans="2:16" x14ac:dyDescent="0.35">
      <c r="B21" s="30">
        <v>6</v>
      </c>
      <c r="C21" s="32" t="str">
        <v>CLT</v>
      </c>
      <c r="D21" s="32">
        <v>1991</v>
      </c>
      <c r="E21" s="43" t="str">
        <v>Ron Meyer</v>
      </c>
      <c r="F21" s="33">
        <v>0</v>
      </c>
      <c r="G21" s="33">
        <v>0.35699999999999998</v>
      </c>
      <c r="H21" s="49">
        <v>-5.7119999999999997</v>
      </c>
      <c r="J21" s="20" t="s">
        <v>779</v>
      </c>
      <c r="K21" s="20">
        <v>1991</v>
      </c>
      <c r="L21" s="20" t="s">
        <v>809</v>
      </c>
      <c r="M21" s="20">
        <v>0</v>
      </c>
      <c r="N21" s="20">
        <v>0.35699999999999998</v>
      </c>
      <c r="O21" s="20">
        <v>-0.35699999999999998</v>
      </c>
      <c r="P21" s="20">
        <v>-4.7E-2</v>
      </c>
    </row>
    <row r="22" spans="2:16" x14ac:dyDescent="0.35">
      <c r="B22" s="30">
        <v>7</v>
      </c>
      <c r="C22" s="32" t="str">
        <v>CLT</v>
      </c>
      <c r="D22" s="32">
        <v>1972</v>
      </c>
      <c r="E22" s="43" t="str">
        <v>Don McCafferty</v>
      </c>
      <c r="F22" s="33">
        <v>0.2</v>
      </c>
      <c r="G22" s="33">
        <v>0.54200000000000004</v>
      </c>
      <c r="H22" s="49">
        <v>-5.4720000000000004</v>
      </c>
      <c r="J22" s="20" t="s">
        <v>779</v>
      </c>
      <c r="K22" s="20">
        <v>1972</v>
      </c>
      <c r="L22" s="20" t="s">
        <v>940</v>
      </c>
      <c r="M22" s="20">
        <v>0.2</v>
      </c>
      <c r="N22" s="20">
        <v>0.54200000000000004</v>
      </c>
      <c r="O22" s="20">
        <v>-0.34200000000000003</v>
      </c>
      <c r="P22" s="20">
        <v>6.0000000000000001E-3</v>
      </c>
    </row>
    <row r="23" spans="2:16" x14ac:dyDescent="0.35">
      <c r="B23" s="30">
        <v>8</v>
      </c>
      <c r="C23" s="32" t="str">
        <v>SFO</v>
      </c>
      <c r="D23" s="32">
        <v>1979</v>
      </c>
      <c r="E23" s="43" t="str">
        <v>Bill Walsh</v>
      </c>
      <c r="F23" s="33">
        <v>0.125</v>
      </c>
      <c r="G23" s="33">
        <v>0.442</v>
      </c>
      <c r="H23" s="49">
        <v>-5.0720000000000001</v>
      </c>
      <c r="J23" s="20" t="s">
        <v>815</v>
      </c>
      <c r="K23" s="20">
        <v>1979</v>
      </c>
      <c r="L23" s="20" t="s">
        <v>816</v>
      </c>
      <c r="M23" s="20">
        <v>0.125</v>
      </c>
      <c r="N23" s="20">
        <v>0.442</v>
      </c>
      <c r="O23" s="20">
        <v>-0.317</v>
      </c>
      <c r="P23" s="20">
        <v>-3.7999999999999999E-2</v>
      </c>
    </row>
    <row r="24" spans="2:16" x14ac:dyDescent="0.35">
      <c r="B24" s="30">
        <v>9</v>
      </c>
      <c r="C24" s="32" t="str">
        <v>DET</v>
      </c>
      <c r="D24" s="32">
        <v>1976</v>
      </c>
      <c r="E24" s="43" t="str">
        <v>Rick Forzano</v>
      </c>
      <c r="F24" s="33">
        <v>0.25</v>
      </c>
      <c r="G24" s="33">
        <v>0.56399999999999995</v>
      </c>
      <c r="H24" s="49">
        <v>-5.0239999999999991</v>
      </c>
      <c r="J24" s="20" t="s">
        <v>808</v>
      </c>
      <c r="K24" s="20">
        <v>1976</v>
      </c>
      <c r="L24" s="20" t="s">
        <v>941</v>
      </c>
      <c r="M24" s="20">
        <v>0.25</v>
      </c>
      <c r="N24" s="20">
        <v>0.56399999999999995</v>
      </c>
      <c r="O24" s="20">
        <v>-0.314</v>
      </c>
      <c r="P24" s="20">
        <v>-2.1999999999999999E-2</v>
      </c>
    </row>
    <row r="25" spans="2:16" ht="15" thickBot="1" x14ac:dyDescent="0.4">
      <c r="B25" s="35">
        <v>10</v>
      </c>
      <c r="C25" s="37" t="str">
        <v>CIN</v>
      </c>
      <c r="D25" s="37">
        <v>1971</v>
      </c>
      <c r="E25" s="44" t="str">
        <v>Paul Brown</v>
      </c>
      <c r="F25" s="38">
        <v>0.28599999999999998</v>
      </c>
      <c r="G25" s="38">
        <v>0.59499999999999997</v>
      </c>
      <c r="H25" s="50">
        <v>-4.944</v>
      </c>
      <c r="J25" s="20" t="s">
        <v>936</v>
      </c>
      <c r="K25" s="20">
        <v>1971</v>
      </c>
      <c r="L25" s="20" t="s">
        <v>942</v>
      </c>
      <c r="M25" s="20">
        <v>0.28599999999999998</v>
      </c>
      <c r="N25" s="20">
        <v>0.59499999999999997</v>
      </c>
      <c r="O25" s="20">
        <v>-0.31</v>
      </c>
      <c r="P25" s="20">
        <v>-0.109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7A5E-0D6C-48C9-A9D7-A0071E493A12}">
  <sheetPr codeName="Sheet6"/>
  <dimension ref="B1:L35"/>
  <sheetViews>
    <sheetView showGridLines="0" zoomScale="145" zoomScaleNormal="145" workbookViewId="0">
      <selection activeCell="G20" sqref="G20"/>
    </sheetView>
  </sheetViews>
  <sheetFormatPr defaultRowHeight="14.5" x14ac:dyDescent="0.35"/>
  <cols>
    <col min="1" max="1" width="8.7265625" style="20"/>
    <col min="2" max="2" width="6.81640625" style="20" customWidth="1"/>
    <col min="3" max="3" width="15.81640625" style="56" bestFit="1" customWidth="1"/>
    <col min="4" max="4" width="18.453125" style="40" customWidth="1"/>
    <col min="5" max="5" width="13.81640625" style="20" customWidth="1"/>
    <col min="6" max="6" width="16.54296875" style="40" customWidth="1"/>
    <col min="7" max="16384" width="8.7265625" style="20"/>
  </cols>
  <sheetData>
    <row r="1" spans="2:12" ht="15" thickBot="1" x14ac:dyDescent="0.4">
      <c r="H1" s="20" t="s">
        <v>767</v>
      </c>
      <c r="I1" s="20" t="s">
        <v>791</v>
      </c>
      <c r="J1" s="20" t="s">
        <v>792</v>
      </c>
      <c r="K1" s="20" t="s">
        <v>793</v>
      </c>
      <c r="L1" s="20" t="s">
        <v>794</v>
      </c>
    </row>
    <row r="2" spans="2:12" s="55" customFormat="1" ht="15" thickBot="1" x14ac:dyDescent="0.4">
      <c r="B2" s="21" t="s">
        <v>763</v>
      </c>
      <c r="C2" s="41" t="s">
        <v>767</v>
      </c>
      <c r="D2" s="23" t="s">
        <v>825</v>
      </c>
      <c r="E2" s="23" t="s">
        <v>793</v>
      </c>
      <c r="F2" s="24" t="s">
        <v>805</v>
      </c>
      <c r="H2" s="55" t="s">
        <v>943</v>
      </c>
      <c r="I2" s="55" t="s">
        <v>775</v>
      </c>
      <c r="J2" s="55" t="s">
        <v>944</v>
      </c>
      <c r="K2" s="55" t="s">
        <v>776</v>
      </c>
      <c r="L2" s="55" t="s">
        <v>795</v>
      </c>
    </row>
    <row r="3" spans="2:12" ht="15" thickTop="1" x14ac:dyDescent="0.35">
      <c r="B3" s="25">
        <v>1</v>
      </c>
      <c r="C3" s="42" t="str" cm="1">
        <f t="array" ref="C3:C17">H3:H17</f>
        <v>Kevin O'Connell</v>
      </c>
      <c r="D3" s="27" cm="1">
        <f t="array" ref="D3:D17">J3:J17</f>
        <v>3</v>
      </c>
      <c r="E3" s="57" cm="1">
        <f t="array" ref="E3:E17">K3:K17*16</f>
        <v>7.7728000000000002</v>
      </c>
      <c r="F3" s="48" cm="1">
        <f t="array" ref="F3:F17">I3:I17*16</f>
        <v>2.5903999999999998</v>
      </c>
      <c r="H3" s="20" t="s">
        <v>796</v>
      </c>
      <c r="I3" s="20">
        <v>0.16189999999999999</v>
      </c>
      <c r="J3" s="20">
        <v>3</v>
      </c>
      <c r="K3" s="20">
        <v>0.48580000000000001</v>
      </c>
      <c r="L3" s="20">
        <v>0.66700000000000004</v>
      </c>
    </row>
    <row r="4" spans="2:12" x14ac:dyDescent="0.35">
      <c r="B4" s="30">
        <v>2</v>
      </c>
      <c r="C4" s="43" t="str">
        <v>Don Shula</v>
      </c>
      <c r="D4" s="32">
        <v>26</v>
      </c>
      <c r="E4" s="58">
        <v>57.854399999999998</v>
      </c>
      <c r="F4" s="49">
        <v>2.2256</v>
      </c>
      <c r="H4" s="20" t="s">
        <v>801</v>
      </c>
      <c r="I4" s="20">
        <v>0.1391</v>
      </c>
      <c r="J4" s="20">
        <v>26</v>
      </c>
      <c r="K4" s="20">
        <v>3.6158999999999999</v>
      </c>
      <c r="L4" s="20">
        <v>0.66300000000000003</v>
      </c>
    </row>
    <row r="5" spans="2:12" x14ac:dyDescent="0.35">
      <c r="B5" s="30">
        <v>3</v>
      </c>
      <c r="C5" s="43" t="str">
        <v>John Madden</v>
      </c>
      <c r="D5" s="32">
        <v>9</v>
      </c>
      <c r="E5" s="58">
        <v>17.0944</v>
      </c>
      <c r="F5" s="49">
        <v>1.8992</v>
      </c>
      <c r="H5" s="20" t="s">
        <v>799</v>
      </c>
      <c r="I5" s="20">
        <v>0.1187</v>
      </c>
      <c r="J5" s="20">
        <v>9</v>
      </c>
      <c r="K5" s="20">
        <v>1.0684</v>
      </c>
      <c r="L5" s="20">
        <v>0.73699999999999999</v>
      </c>
    </row>
    <row r="6" spans="2:12" x14ac:dyDescent="0.35">
      <c r="B6" s="30">
        <v>4</v>
      </c>
      <c r="C6" s="43" t="str">
        <v>Mike McDaniel</v>
      </c>
      <c r="D6" s="32">
        <v>3</v>
      </c>
      <c r="E6" s="58">
        <v>5.6448</v>
      </c>
      <c r="F6" s="49">
        <v>1.8815999999999999</v>
      </c>
      <c r="H6" s="20" t="s">
        <v>798</v>
      </c>
      <c r="I6" s="20">
        <v>0.1176</v>
      </c>
      <c r="J6" s="20">
        <v>3</v>
      </c>
      <c r="K6" s="20">
        <v>0.3528</v>
      </c>
      <c r="L6" s="20">
        <v>0.54900000000000004</v>
      </c>
    </row>
    <row r="7" spans="2:12" x14ac:dyDescent="0.35">
      <c r="B7" s="30">
        <v>5</v>
      </c>
      <c r="C7" s="43" t="str">
        <v>Mike Martz</v>
      </c>
      <c r="D7" s="32">
        <v>6</v>
      </c>
      <c r="E7" s="58">
        <v>11.1248</v>
      </c>
      <c r="F7" s="49">
        <v>1.8544</v>
      </c>
      <c r="H7" s="20" t="s">
        <v>821</v>
      </c>
      <c r="I7" s="20">
        <v>0.1159</v>
      </c>
      <c r="J7" s="20">
        <v>6</v>
      </c>
      <c r="K7" s="20">
        <v>0.69530000000000003</v>
      </c>
      <c r="L7" s="20">
        <v>0.59799999999999998</v>
      </c>
    </row>
    <row r="8" spans="2:12" x14ac:dyDescent="0.35">
      <c r="B8" s="30">
        <v>6</v>
      </c>
      <c r="C8" s="43" t="str">
        <v>John Ralston</v>
      </c>
      <c r="D8" s="32">
        <v>5</v>
      </c>
      <c r="E8" s="58">
        <v>8.8192000000000004</v>
      </c>
      <c r="F8" s="49">
        <v>1.7632000000000001</v>
      </c>
      <c r="H8" s="20" t="s">
        <v>823</v>
      </c>
      <c r="I8" s="20">
        <v>0.11020000000000001</v>
      </c>
      <c r="J8" s="20">
        <v>5</v>
      </c>
      <c r="K8" s="20">
        <v>0.55120000000000002</v>
      </c>
      <c r="L8" s="20">
        <v>0.50700000000000001</v>
      </c>
    </row>
    <row r="9" spans="2:12" x14ac:dyDescent="0.35">
      <c r="B9" s="30">
        <v>7</v>
      </c>
      <c r="C9" s="43" t="str">
        <v>Raymond Berry</v>
      </c>
      <c r="D9" s="32">
        <v>5</v>
      </c>
      <c r="E9" s="58">
        <v>8.6031999999999993</v>
      </c>
      <c r="F9" s="49">
        <v>1.72</v>
      </c>
      <c r="H9" s="20" t="s">
        <v>803</v>
      </c>
      <c r="I9" s="20">
        <v>0.1075</v>
      </c>
      <c r="J9" s="20">
        <v>5</v>
      </c>
      <c r="K9" s="20">
        <v>0.53769999999999996</v>
      </c>
      <c r="L9" s="20">
        <v>0.55700000000000005</v>
      </c>
    </row>
    <row r="10" spans="2:12" x14ac:dyDescent="0.35">
      <c r="B10" s="30">
        <v>8</v>
      </c>
      <c r="C10" s="43" t="str">
        <v>Kevin Stefanski</v>
      </c>
      <c r="D10" s="32">
        <v>5</v>
      </c>
      <c r="E10" s="58">
        <v>8.0896000000000008</v>
      </c>
      <c r="F10" s="49">
        <v>1.6175999999999999</v>
      </c>
      <c r="H10" s="20" t="s">
        <v>802</v>
      </c>
      <c r="I10" s="20">
        <v>0.1011</v>
      </c>
      <c r="J10" s="20">
        <v>5</v>
      </c>
      <c r="K10" s="20">
        <v>0.50560000000000005</v>
      </c>
      <c r="L10" s="20">
        <v>0.47899999999999998</v>
      </c>
    </row>
    <row r="11" spans="2:12" x14ac:dyDescent="0.35">
      <c r="B11" s="30">
        <v>9</v>
      </c>
      <c r="C11" s="43" t="str">
        <v>Tom Landry</v>
      </c>
      <c r="D11" s="32">
        <v>19</v>
      </c>
      <c r="E11" s="58">
        <v>28.963200000000001</v>
      </c>
      <c r="F11" s="49">
        <v>1.5247999999999999</v>
      </c>
      <c r="H11" s="20" t="s">
        <v>804</v>
      </c>
      <c r="I11" s="20">
        <v>9.5299999999999996E-2</v>
      </c>
      <c r="J11" s="20">
        <v>19</v>
      </c>
      <c r="K11" s="20">
        <v>1.8102</v>
      </c>
      <c r="L11" s="20">
        <v>0.65700000000000003</v>
      </c>
    </row>
    <row r="12" spans="2:12" x14ac:dyDescent="0.35">
      <c r="B12" s="30">
        <v>10</v>
      </c>
      <c r="C12" s="43" t="str">
        <v>Bill Belichick</v>
      </c>
      <c r="D12" s="32">
        <v>29</v>
      </c>
      <c r="E12" s="58">
        <v>43.7376</v>
      </c>
      <c r="F12" s="49">
        <v>1.5087999999999999</v>
      </c>
      <c r="H12" s="20" t="s">
        <v>814</v>
      </c>
      <c r="I12" s="20">
        <v>9.4299999999999995E-2</v>
      </c>
      <c r="J12" s="20">
        <v>29</v>
      </c>
      <c r="K12" s="20">
        <v>2.7336</v>
      </c>
      <c r="L12" s="20">
        <v>0.64800000000000002</v>
      </c>
    </row>
    <row r="13" spans="2:12" x14ac:dyDescent="0.35">
      <c r="B13" s="30">
        <v>11</v>
      </c>
      <c r="C13" s="43" t="str">
        <v>Chuck Pagano</v>
      </c>
      <c r="D13" s="32">
        <v>6</v>
      </c>
      <c r="E13" s="58">
        <v>9.0191999999999997</v>
      </c>
      <c r="F13" s="49">
        <v>1.504</v>
      </c>
      <c r="H13" s="20" t="s">
        <v>800</v>
      </c>
      <c r="I13" s="20">
        <v>9.4E-2</v>
      </c>
      <c r="J13" s="20">
        <v>6</v>
      </c>
      <c r="K13" s="20">
        <v>0.56369999999999998</v>
      </c>
      <c r="L13" s="20">
        <v>0.55200000000000005</v>
      </c>
    </row>
    <row r="14" spans="2:12" x14ac:dyDescent="0.35">
      <c r="B14" s="30">
        <v>12</v>
      </c>
      <c r="C14" s="43" t="str">
        <v>Kyle Shanahan</v>
      </c>
      <c r="D14" s="32">
        <v>8</v>
      </c>
      <c r="E14" s="58">
        <v>12.016</v>
      </c>
      <c r="F14" s="49">
        <v>1.5024</v>
      </c>
      <c r="H14" s="20" t="s">
        <v>822</v>
      </c>
      <c r="I14" s="20">
        <v>9.3899999999999997E-2</v>
      </c>
      <c r="J14" s="20">
        <v>8</v>
      </c>
      <c r="K14" s="20">
        <v>0.751</v>
      </c>
      <c r="L14" s="20">
        <v>0.52800000000000002</v>
      </c>
    </row>
    <row r="15" spans="2:12" x14ac:dyDescent="0.35">
      <c r="B15" s="30">
        <v>13</v>
      </c>
      <c r="C15" s="43" t="str">
        <v>Bruce Arians</v>
      </c>
      <c r="D15" s="32">
        <v>8</v>
      </c>
      <c r="E15" s="58">
        <v>11.76</v>
      </c>
      <c r="F15" s="49">
        <v>1.4703999999999999</v>
      </c>
      <c r="H15" s="20" t="s">
        <v>797</v>
      </c>
      <c r="I15" s="20">
        <v>9.1899999999999996E-2</v>
      </c>
      <c r="J15" s="20">
        <v>8</v>
      </c>
      <c r="K15" s="20">
        <v>0.73499999999999999</v>
      </c>
      <c r="L15" s="20">
        <v>0.623</v>
      </c>
    </row>
    <row r="16" spans="2:12" x14ac:dyDescent="0.35">
      <c r="B16" s="30">
        <v>14</v>
      </c>
      <c r="C16" s="43" t="str">
        <v>Red Miller</v>
      </c>
      <c r="D16" s="32">
        <v>4</v>
      </c>
      <c r="E16" s="58">
        <v>5.8592000000000004</v>
      </c>
      <c r="F16" s="49">
        <v>1.4656</v>
      </c>
      <c r="H16" s="20" t="s">
        <v>824</v>
      </c>
      <c r="I16" s="20">
        <v>9.1600000000000001E-2</v>
      </c>
      <c r="J16" s="20">
        <v>4</v>
      </c>
      <c r="K16" s="20">
        <v>0.36620000000000003</v>
      </c>
      <c r="L16" s="20">
        <v>0.65200000000000002</v>
      </c>
    </row>
    <row r="17" spans="2:12" ht="15" thickBot="1" x14ac:dyDescent="0.4">
      <c r="B17" s="35">
        <v>15</v>
      </c>
      <c r="C17" s="44" t="str">
        <v>Mike Vrabel</v>
      </c>
      <c r="D17" s="37">
        <v>6</v>
      </c>
      <c r="E17" s="59">
        <v>8.4128000000000007</v>
      </c>
      <c r="F17" s="50">
        <v>1.4016</v>
      </c>
      <c r="H17" s="20" t="s">
        <v>945</v>
      </c>
      <c r="I17" s="20">
        <v>8.7599999999999997E-2</v>
      </c>
      <c r="J17" s="20">
        <v>6</v>
      </c>
      <c r="K17" s="20">
        <v>0.52580000000000005</v>
      </c>
      <c r="L17" s="20">
        <v>0.54700000000000004</v>
      </c>
    </row>
    <row r="19" spans="2:12" ht="15" thickBot="1" x14ac:dyDescent="0.4">
      <c r="H19" s="20" t="s">
        <v>767</v>
      </c>
      <c r="I19" s="20" t="s">
        <v>791</v>
      </c>
      <c r="J19" s="20" t="s">
        <v>792</v>
      </c>
      <c r="K19" s="20" t="s">
        <v>793</v>
      </c>
      <c r="L19" s="20" t="s">
        <v>794</v>
      </c>
    </row>
    <row r="20" spans="2:12" ht="15" thickBot="1" x14ac:dyDescent="0.4">
      <c r="B20" s="21" t="s">
        <v>763</v>
      </c>
      <c r="C20" s="41" t="s">
        <v>767</v>
      </c>
      <c r="D20" s="23" t="s">
        <v>825</v>
      </c>
      <c r="E20" s="23" t="s">
        <v>793</v>
      </c>
      <c r="F20" s="24" t="s">
        <v>805</v>
      </c>
      <c r="G20" s="55"/>
      <c r="H20" s="55" t="s">
        <v>943</v>
      </c>
      <c r="I20" s="55" t="s">
        <v>775</v>
      </c>
      <c r="J20" s="55" t="s">
        <v>944</v>
      </c>
      <c r="K20" s="55" t="s">
        <v>776</v>
      </c>
      <c r="L20" s="55" t="s">
        <v>795</v>
      </c>
    </row>
    <row r="21" spans="2:12" ht="15" thickTop="1" x14ac:dyDescent="0.35">
      <c r="B21" s="25">
        <v>1</v>
      </c>
      <c r="C21" s="42" t="str" cm="1">
        <f t="array" ref="C21:C35">H21:H35</f>
        <v>Pat Shurmur</v>
      </c>
      <c r="D21" s="27" cm="1">
        <f t="array" ref="D21:D35">J21:J35</f>
        <v>4</v>
      </c>
      <c r="E21" s="57" cm="1">
        <f t="array" ref="E21:E35">K21:K35*16</f>
        <v>-12.4064</v>
      </c>
      <c r="F21" s="48" cm="1">
        <f t="array" ref="F21:F35">I21:I35*16</f>
        <v>-3.1023999999999998</v>
      </c>
      <c r="H21" s="20" t="s">
        <v>833</v>
      </c>
      <c r="I21" s="20">
        <v>-0.19389999999999999</v>
      </c>
      <c r="J21" s="20">
        <v>4</v>
      </c>
      <c r="K21" s="20">
        <v>-0.77539999999999998</v>
      </c>
      <c r="L21" s="20">
        <v>0.28100000000000003</v>
      </c>
    </row>
    <row r="22" spans="2:12" x14ac:dyDescent="0.35">
      <c r="B22" s="30">
        <v>2</v>
      </c>
      <c r="C22" s="43" t="str">
        <v>Matt Eberflus</v>
      </c>
      <c r="D22" s="32">
        <v>3</v>
      </c>
      <c r="E22" s="58">
        <v>-9.1584000000000003</v>
      </c>
      <c r="F22" s="49">
        <v>-3.0528</v>
      </c>
      <c r="H22" s="20" t="s">
        <v>811</v>
      </c>
      <c r="I22" s="20">
        <v>-0.1908</v>
      </c>
      <c r="J22" s="20">
        <v>3</v>
      </c>
      <c r="K22" s="20">
        <v>-0.57240000000000002</v>
      </c>
      <c r="L22" s="20">
        <v>0.307</v>
      </c>
    </row>
    <row r="23" spans="2:12" x14ac:dyDescent="0.35">
      <c r="B23" s="30">
        <v>3</v>
      </c>
      <c r="C23" s="43" t="str">
        <v>Scott Linehan</v>
      </c>
      <c r="D23" s="32">
        <v>3</v>
      </c>
      <c r="E23" s="58">
        <v>-8.4976000000000003</v>
      </c>
      <c r="F23" s="49">
        <v>-2.8319999999999999</v>
      </c>
      <c r="H23" s="20" t="s">
        <v>831</v>
      </c>
      <c r="I23" s="20">
        <v>-0.17699999999999999</v>
      </c>
      <c r="J23" s="20">
        <v>3</v>
      </c>
      <c r="K23" s="20">
        <v>-0.53110000000000002</v>
      </c>
      <c r="L23" s="20">
        <v>0.22900000000000001</v>
      </c>
    </row>
    <row r="24" spans="2:12" x14ac:dyDescent="0.35">
      <c r="B24" s="30">
        <v>4</v>
      </c>
      <c r="C24" s="43" t="str">
        <v>Hue Jackson</v>
      </c>
      <c r="D24" s="32">
        <v>4</v>
      </c>
      <c r="E24" s="58">
        <v>-10.457599999999999</v>
      </c>
      <c r="F24" s="49">
        <v>-2.6143999999999998</v>
      </c>
      <c r="H24" s="20" t="s">
        <v>947</v>
      </c>
      <c r="I24" s="20">
        <v>-0.16339999999999999</v>
      </c>
      <c r="J24" s="20">
        <v>4</v>
      </c>
      <c r="K24" s="20">
        <v>-0.65359999999999996</v>
      </c>
      <c r="L24" s="20">
        <v>0.219</v>
      </c>
    </row>
    <row r="25" spans="2:12" x14ac:dyDescent="0.35">
      <c r="B25" s="30">
        <v>5</v>
      </c>
      <c r="C25" s="43" t="str">
        <v>Bruce Coslet</v>
      </c>
      <c r="D25" s="32">
        <v>8</v>
      </c>
      <c r="E25" s="58">
        <v>-20.076799999999999</v>
      </c>
      <c r="F25" s="49">
        <v>-2.5087999999999999</v>
      </c>
      <c r="H25" s="20" t="s">
        <v>828</v>
      </c>
      <c r="I25" s="20">
        <v>-0.15679999999999999</v>
      </c>
      <c r="J25" s="20">
        <v>8</v>
      </c>
      <c r="K25" s="20">
        <v>-1.2547999999999999</v>
      </c>
      <c r="L25" s="20">
        <v>0.312</v>
      </c>
    </row>
    <row r="26" spans="2:12" x14ac:dyDescent="0.35">
      <c r="B26" s="30">
        <v>6</v>
      </c>
      <c r="C26" s="43" t="str">
        <v>Jack Patera</v>
      </c>
      <c r="D26" s="32">
        <v>7</v>
      </c>
      <c r="E26" s="58">
        <v>-17.265599999999999</v>
      </c>
      <c r="F26" s="49">
        <v>-2.4672000000000001</v>
      </c>
      <c r="H26" s="20" t="s">
        <v>818</v>
      </c>
      <c r="I26" s="20">
        <v>-0.1542</v>
      </c>
      <c r="J26" s="20">
        <v>7</v>
      </c>
      <c r="K26" s="20">
        <v>-1.0790999999999999</v>
      </c>
      <c r="L26" s="20">
        <v>0.32100000000000001</v>
      </c>
    </row>
    <row r="27" spans="2:12" x14ac:dyDescent="0.35">
      <c r="B27" s="30">
        <v>7</v>
      </c>
      <c r="C27" s="43" t="str">
        <v>David Shula</v>
      </c>
      <c r="D27" s="32">
        <v>5</v>
      </c>
      <c r="E27" s="58">
        <v>-12.2064</v>
      </c>
      <c r="F27" s="49">
        <v>-2.4416000000000002</v>
      </c>
      <c r="H27" s="20" t="s">
        <v>937</v>
      </c>
      <c r="I27" s="20">
        <v>-0.15260000000000001</v>
      </c>
      <c r="J27" s="20">
        <v>5</v>
      </c>
      <c r="K27" s="20">
        <v>-0.76290000000000002</v>
      </c>
      <c r="L27" s="20">
        <v>0.254</v>
      </c>
    </row>
    <row r="28" spans="2:12" x14ac:dyDescent="0.35">
      <c r="B28" s="30">
        <v>8</v>
      </c>
      <c r="C28" s="43" t="str">
        <v>Kay Stephenson</v>
      </c>
      <c r="D28" s="32">
        <v>3</v>
      </c>
      <c r="E28" s="58">
        <v>-7.2336</v>
      </c>
      <c r="F28" s="49">
        <v>-2.4112</v>
      </c>
      <c r="H28" s="20" t="s">
        <v>826</v>
      </c>
      <c r="I28" s="20">
        <v>-0.1507</v>
      </c>
      <c r="J28" s="20">
        <v>3</v>
      </c>
      <c r="K28" s="20">
        <v>-0.4521</v>
      </c>
      <c r="L28" s="20">
        <v>0.20799999999999999</v>
      </c>
    </row>
    <row r="29" spans="2:12" x14ac:dyDescent="0.35">
      <c r="B29" s="30">
        <v>9</v>
      </c>
      <c r="C29" s="43" t="str">
        <v>J.D. Roberts</v>
      </c>
      <c r="D29" s="32">
        <v>3</v>
      </c>
      <c r="E29" s="58">
        <v>-6.992</v>
      </c>
      <c r="F29" s="49">
        <v>-2.3311999999999999</v>
      </c>
      <c r="H29" s="20" t="s">
        <v>832</v>
      </c>
      <c r="I29" s="20">
        <v>-0.1457</v>
      </c>
      <c r="J29" s="20">
        <v>3</v>
      </c>
      <c r="K29" s="20">
        <v>-0.437</v>
      </c>
      <c r="L29" s="20">
        <v>0.22600000000000001</v>
      </c>
    </row>
    <row r="30" spans="2:12" x14ac:dyDescent="0.35">
      <c r="B30" s="30">
        <v>10</v>
      </c>
      <c r="C30" s="43" t="str">
        <v>Rod Marinelli</v>
      </c>
      <c r="D30" s="32">
        <v>3</v>
      </c>
      <c r="E30" s="58">
        <v>-6.7759999999999998</v>
      </c>
      <c r="F30" s="49">
        <v>-2.2591999999999999</v>
      </c>
      <c r="H30" s="20" t="s">
        <v>810</v>
      </c>
      <c r="I30" s="20">
        <v>-0.14119999999999999</v>
      </c>
      <c r="J30" s="20">
        <v>3</v>
      </c>
      <c r="K30" s="20">
        <v>-0.42349999999999999</v>
      </c>
      <c r="L30" s="20">
        <v>0.20799999999999999</v>
      </c>
    </row>
    <row r="31" spans="2:12" x14ac:dyDescent="0.35">
      <c r="B31" s="30">
        <v>11</v>
      </c>
      <c r="C31" s="43" t="str">
        <v>Paul Wiggin</v>
      </c>
      <c r="D31" s="32">
        <v>3</v>
      </c>
      <c r="E31" s="58">
        <v>-6.6239999999999997</v>
      </c>
      <c r="F31" s="49">
        <v>-2.2080000000000002</v>
      </c>
      <c r="H31" s="20" t="s">
        <v>829</v>
      </c>
      <c r="I31" s="20">
        <v>-0.13800000000000001</v>
      </c>
      <c r="J31" s="20">
        <v>3</v>
      </c>
      <c r="K31" s="20">
        <v>-0.41399999999999998</v>
      </c>
      <c r="L31" s="20">
        <v>0.28599999999999998</v>
      </c>
    </row>
    <row r="32" spans="2:12" x14ac:dyDescent="0.35">
      <c r="B32" s="30">
        <v>12</v>
      </c>
      <c r="C32" s="43" t="str">
        <v>Bill Arnsparger</v>
      </c>
      <c r="D32" s="32">
        <v>3</v>
      </c>
      <c r="E32" s="58">
        <v>-6.1840000000000002</v>
      </c>
      <c r="F32" s="49">
        <v>-2.0608</v>
      </c>
      <c r="H32" s="20" t="s">
        <v>946</v>
      </c>
      <c r="I32" s="20">
        <v>-0.1288</v>
      </c>
      <c r="J32" s="20">
        <v>3</v>
      </c>
      <c r="K32" s="20">
        <v>-0.38650000000000001</v>
      </c>
      <c r="L32" s="20">
        <v>0.16700000000000001</v>
      </c>
    </row>
    <row r="33" spans="2:12" x14ac:dyDescent="0.35">
      <c r="B33" s="30">
        <v>13</v>
      </c>
      <c r="C33" s="43" t="str">
        <v>Steve Spagnuolo</v>
      </c>
      <c r="D33" s="32">
        <v>3</v>
      </c>
      <c r="E33" s="58">
        <v>-6.0448000000000004</v>
      </c>
      <c r="F33" s="49">
        <v>-2.0144000000000002</v>
      </c>
      <c r="H33" s="20" t="s">
        <v>813</v>
      </c>
      <c r="I33" s="20">
        <v>-0.12590000000000001</v>
      </c>
      <c r="J33" s="20">
        <v>3</v>
      </c>
      <c r="K33" s="20">
        <v>-0.37780000000000002</v>
      </c>
      <c r="L33" s="20">
        <v>0.20799999999999999</v>
      </c>
    </row>
    <row r="34" spans="2:12" x14ac:dyDescent="0.35">
      <c r="B34" s="30">
        <v>14</v>
      </c>
      <c r="C34" s="43" t="str">
        <v>Abe Gibron</v>
      </c>
      <c r="D34" s="32">
        <v>3</v>
      </c>
      <c r="E34" s="58">
        <v>-5.9088000000000003</v>
      </c>
      <c r="F34" s="49">
        <v>-1.9696</v>
      </c>
      <c r="H34" s="20" t="s">
        <v>827</v>
      </c>
      <c r="I34" s="20">
        <v>-0.1231</v>
      </c>
      <c r="J34" s="20">
        <v>3</v>
      </c>
      <c r="K34" s="20">
        <v>-0.36930000000000002</v>
      </c>
      <c r="L34" s="20">
        <v>0.27400000000000002</v>
      </c>
    </row>
    <row r="35" spans="2:12" ht="15" thickBot="1" x14ac:dyDescent="0.4">
      <c r="B35" s="35">
        <v>15</v>
      </c>
      <c r="C35" s="44" t="str">
        <v>June Jones</v>
      </c>
      <c r="D35" s="37">
        <v>3</v>
      </c>
      <c r="E35" s="59">
        <v>-5.8064</v>
      </c>
      <c r="F35" s="50">
        <v>-1.9359999999999999</v>
      </c>
      <c r="H35" s="20" t="s">
        <v>830</v>
      </c>
      <c r="I35" s="20">
        <v>-0.121</v>
      </c>
      <c r="J35" s="20">
        <v>3</v>
      </c>
      <c r="K35" s="20">
        <v>-0.3629</v>
      </c>
      <c r="L35" s="20">
        <v>0.39600000000000002</v>
      </c>
    </row>
  </sheetData>
  <autoFilter ref="H20:M20" xr:uid="{F8637A5E-0D6C-48C9-A9D7-A0071E493A12}">
    <sortState xmlns:xlrd2="http://schemas.microsoft.com/office/spreadsheetml/2017/richdata2" ref="H21:L35">
      <sortCondition ref="I20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2C07A-37FD-4FD9-80F8-E4D4E39D4100}">
  <sheetPr codeName="Sheet7"/>
  <dimension ref="A2:V54"/>
  <sheetViews>
    <sheetView showGridLines="0" tabSelected="1" zoomScale="85" zoomScaleNormal="85" workbookViewId="0">
      <selection activeCell="O15" sqref="O15"/>
    </sheetView>
  </sheetViews>
  <sheetFormatPr defaultRowHeight="14.5" outlineLevelRow="1" outlineLevelCol="1" x14ac:dyDescent="0.35"/>
  <cols>
    <col min="1" max="1" width="8.7265625" style="20"/>
    <col min="2" max="2" width="17.54296875" style="20" bestFit="1" customWidth="1"/>
    <col min="3" max="3" width="14.54296875" style="56" customWidth="1"/>
    <col min="4" max="4" width="14.54296875" style="40" customWidth="1"/>
    <col min="5" max="7" width="14.54296875" style="20" customWidth="1"/>
    <col min="8" max="8" width="14.54296875" style="40" customWidth="1"/>
    <col min="9" max="9" width="13.6328125" style="40" customWidth="1" outlineLevel="1"/>
    <col min="10" max="16384" width="8.7265625" style="20"/>
  </cols>
  <sheetData>
    <row r="2" spans="2:9" ht="15" thickBot="1" x14ac:dyDescent="0.4">
      <c r="B2" s="84"/>
      <c r="C2"/>
      <c r="D2"/>
      <c r="E2"/>
      <c r="F2"/>
      <c r="G2"/>
      <c r="H2"/>
      <c r="I2" s="85"/>
    </row>
    <row r="3" spans="2:9" s="55" customFormat="1" ht="28.5" thickBot="1" x14ac:dyDescent="0.4">
      <c r="B3" s="60" t="s">
        <v>834</v>
      </c>
      <c r="C3" s="23" t="str" cm="1">
        <f t="array" ref="C3:H3">_xlfn.SEQUENCE(1,6,1970,10)&amp;"'s"</f>
        <v>1970's</v>
      </c>
      <c r="D3" s="23" t="str">
        <v>1980's</v>
      </c>
      <c r="E3" s="23" t="str">
        <v>1990's</v>
      </c>
      <c r="F3" s="23" t="str">
        <v>2000's</v>
      </c>
      <c r="G3" s="23" t="str">
        <v>2010's</v>
      </c>
      <c r="H3" s="24" t="str">
        <v>2020's</v>
      </c>
      <c r="I3" s="54" t="s">
        <v>845</v>
      </c>
    </row>
    <row r="4" spans="2:9" ht="28" customHeight="1" thickTop="1" x14ac:dyDescent="0.35">
      <c r="B4" s="61" t="s">
        <v>837</v>
      </c>
      <c r="C4" s="63" cm="1">
        <f t="array" ref="C4:H4">C19:H19</f>
        <v>-0.39</v>
      </c>
      <c r="D4" s="63">
        <v>0.47</v>
      </c>
      <c r="E4" s="63">
        <v>-0.33</v>
      </c>
      <c r="F4" s="63">
        <v>0.03</v>
      </c>
      <c r="G4" s="63">
        <v>0.1</v>
      </c>
      <c r="H4" s="45">
        <v>0.46</v>
      </c>
      <c r="I4" s="64">
        <f t="shared" ref="I4:I6" si="0">H4-C4</f>
        <v>0.85000000000000009</v>
      </c>
    </row>
    <row r="5" spans="2:9" ht="28" customHeight="1" thickBot="1" x14ac:dyDescent="0.4">
      <c r="B5" s="62" t="s">
        <v>836</v>
      </c>
      <c r="C5" s="110" cm="1">
        <f t="array" ref="C5:H5">C18:H18</f>
        <v>0.51</v>
      </c>
      <c r="D5" s="110">
        <v>0.21</v>
      </c>
      <c r="E5" s="110">
        <v>0.39</v>
      </c>
      <c r="F5" s="110">
        <v>0.16</v>
      </c>
      <c r="G5" s="110">
        <v>0.24</v>
      </c>
      <c r="H5" s="46">
        <v>-0.12</v>
      </c>
      <c r="I5" s="46">
        <f t="shared" si="0"/>
        <v>-0.63</v>
      </c>
    </row>
    <row r="6" spans="2:9" ht="28" hidden="1" customHeight="1" outlineLevel="1" thickBot="1" x14ac:dyDescent="0.4">
      <c r="B6" s="96" t="s">
        <v>838</v>
      </c>
      <c r="C6" s="97" cm="1">
        <f t="array" ref="C6:H6">C20:H20</f>
        <v>0.13</v>
      </c>
      <c r="D6" s="97">
        <v>0.2</v>
      </c>
      <c r="E6" s="97">
        <v>0.6</v>
      </c>
      <c r="F6" s="97" t="str">
        <v>--</v>
      </c>
      <c r="G6" s="97" t="str">
        <v>--</v>
      </c>
      <c r="H6" s="98" t="str">
        <v>--</v>
      </c>
      <c r="I6" s="98" t="e">
        <f t="shared" si="0"/>
        <v>#VALUE!</v>
      </c>
    </row>
    <row r="7" spans="2:9" s="55" customFormat="1" ht="28" customHeight="1" collapsed="1" x14ac:dyDescent="0.35">
      <c r="B7" s="90" t="s">
        <v>901</v>
      </c>
      <c r="C7" s="86" t="str" cm="1">
        <f t="array" ref="C7:H7">F46:K46</f>
        <v>34/21</v>
      </c>
      <c r="D7" s="86" t="str">
        <v>30/22</v>
      </c>
      <c r="E7" s="86" t="str">
        <v>33/28</v>
      </c>
      <c r="F7" s="86" t="str">
        <v>40/37</v>
      </c>
      <c r="G7" s="86" t="str">
        <v>42/33</v>
      </c>
      <c r="H7" s="91" t="str">
        <v>33/20</v>
      </c>
      <c r="I7" s="87"/>
    </row>
    <row r="8" spans="2:9" s="55" customFormat="1" ht="28" customHeight="1" x14ac:dyDescent="0.35">
      <c r="B8" s="92" t="str">
        <f>SUBSTITUTE(B7,"Coaches", "Seasons")</f>
        <v>Sample Size, Seasons (O/D)</v>
      </c>
      <c r="C8" s="93" t="str" cm="1">
        <f t="array" ref="C8:H8">F47:K47</f>
        <v>87/82</v>
      </c>
      <c r="D8" s="93" t="str">
        <v>146/83</v>
      </c>
      <c r="E8" s="93" t="str">
        <v>143/126</v>
      </c>
      <c r="F8" s="93" t="str">
        <v>152/151</v>
      </c>
      <c r="G8" s="93" t="str">
        <v>158/135</v>
      </c>
      <c r="H8" s="94" t="str">
        <v>92/56</v>
      </c>
      <c r="I8" s="95"/>
    </row>
    <row r="9" spans="2:9" ht="28" customHeight="1" x14ac:dyDescent="0.35">
      <c r="B9" s="74" t="str" cm="1">
        <f t="array" ref="B9:B10">TRIM(TRANSPOSE(D24:E24))</f>
        <v>Mean WAR (O/D)</v>
      </c>
      <c r="C9" s="32" t="str" cm="1">
        <f t="array" ref="C9:H9">E54:J54</f>
        <v>-0.39 / 0.513</v>
      </c>
      <c r="D9" s="32" t="str">
        <v>0.472 / 0.214</v>
      </c>
      <c r="E9" s="32" t="str">
        <v>-0.329 / 0.389</v>
      </c>
      <c r="F9" s="32" t="str">
        <v>0.029 / 0.156</v>
      </c>
      <c r="G9" s="32" t="str">
        <v>0.1 / 0.243</v>
      </c>
      <c r="H9" s="34" t="str">
        <v>0.46 / -0.116</v>
      </c>
      <c r="I9" s="88"/>
    </row>
    <row r="10" spans="2:9" ht="28" customHeight="1" x14ac:dyDescent="0.35">
      <c r="B10" s="74" t="str">
        <v>Difference (O - D)</v>
      </c>
      <c r="C10" s="32" cm="1">
        <f t="array" ref="C10:H10">F49:K49</f>
        <v>-0.90400000000000003</v>
      </c>
      <c r="D10" s="32">
        <v>0.25800000000000001</v>
      </c>
      <c r="E10" s="32">
        <v>-0.71799999999999997</v>
      </c>
      <c r="F10" s="32">
        <v>-0.127</v>
      </c>
      <c r="G10" s="32">
        <v>-0.14299999999999999</v>
      </c>
      <c r="H10" s="34">
        <v>0.57599999999999996</v>
      </c>
      <c r="I10" s="88"/>
    </row>
    <row r="11" spans="2:9" ht="28" customHeight="1" x14ac:dyDescent="0.35">
      <c r="B11" s="74" t="str" cm="1">
        <f t="array" ref="B11:B12">TRANSPOSE(J24:K24)</f>
        <v>U-statistic</v>
      </c>
      <c r="C11" s="32" cm="1">
        <f t="array" ref="C11:H12">C50:H51</f>
        <v>2626</v>
      </c>
      <c r="D11" s="32">
        <v>6272</v>
      </c>
      <c r="E11" s="32">
        <v>7144</v>
      </c>
      <c r="F11" s="32">
        <v>11082</v>
      </c>
      <c r="G11" s="32">
        <v>10192</v>
      </c>
      <c r="H11" s="34">
        <v>2979</v>
      </c>
      <c r="I11" s="88"/>
    </row>
    <row r="12" spans="2:9" ht="28" customHeight="1" x14ac:dyDescent="0.35">
      <c r="B12" s="74" t="str">
        <v>p-value</v>
      </c>
      <c r="C12" s="32">
        <v>3.0999999999999999E-3</v>
      </c>
      <c r="D12" s="32">
        <v>0.6593</v>
      </c>
      <c r="E12" s="32">
        <v>3.3999999999999998E-3</v>
      </c>
      <c r="F12" s="32">
        <v>0.60580000000000001</v>
      </c>
      <c r="G12" s="32">
        <v>0.51339999999999997</v>
      </c>
      <c r="H12" s="34">
        <v>0.1115</v>
      </c>
      <c r="I12" s="88"/>
    </row>
    <row r="13" spans="2:9" ht="28" customHeight="1" thickBot="1" x14ac:dyDescent="0.4">
      <c r="B13" s="79" t="str">
        <f>TRIM(H24)</f>
        <v>Significance</v>
      </c>
      <c r="C13" s="37" t="s">
        <v>899</v>
      </c>
      <c r="D13" s="37" t="s">
        <v>900</v>
      </c>
      <c r="E13" s="37" t="str">
        <f>C13</f>
        <v>Highly Significant</v>
      </c>
      <c r="F13" s="37" t="s">
        <v>900</v>
      </c>
      <c r="G13" s="37" t="s">
        <v>900</v>
      </c>
      <c r="H13" s="39" t="s">
        <v>900</v>
      </c>
      <c r="I13" s="89"/>
    </row>
    <row r="16" spans="2:9" x14ac:dyDescent="0.35">
      <c r="B16" s="20" t="s">
        <v>835</v>
      </c>
      <c r="C16" s="56" t="s">
        <v>839</v>
      </c>
      <c r="D16" s="40" t="s">
        <v>840</v>
      </c>
      <c r="E16" s="20" t="s">
        <v>841</v>
      </c>
      <c r="F16" s="20" t="s">
        <v>842</v>
      </c>
      <c r="G16" s="20" t="s">
        <v>843</v>
      </c>
      <c r="H16" s="40" t="s">
        <v>844</v>
      </c>
    </row>
    <row r="17" spans="2:11" x14ac:dyDescent="0.35">
      <c r="B17" s="20" t="s">
        <v>834</v>
      </c>
    </row>
    <row r="18" spans="2:11" x14ac:dyDescent="0.35">
      <c r="B18" s="20" t="s">
        <v>836</v>
      </c>
      <c r="C18" s="56">
        <v>0.51</v>
      </c>
      <c r="D18" s="40">
        <v>0.21</v>
      </c>
      <c r="E18" s="20">
        <v>0.39</v>
      </c>
      <c r="F18" s="20">
        <v>0.16</v>
      </c>
      <c r="G18" s="20">
        <v>0.24</v>
      </c>
      <c r="H18" s="40">
        <v>-0.12</v>
      </c>
    </row>
    <row r="19" spans="2:11" x14ac:dyDescent="0.35">
      <c r="B19" s="20" t="s">
        <v>837</v>
      </c>
      <c r="C19" s="56">
        <v>-0.39</v>
      </c>
      <c r="D19" s="40">
        <v>0.47</v>
      </c>
      <c r="E19" s="20">
        <v>-0.33</v>
      </c>
      <c r="F19" s="20">
        <v>0.03</v>
      </c>
      <c r="G19" s="20">
        <v>0.1</v>
      </c>
      <c r="H19" s="40">
        <v>0.46</v>
      </c>
    </row>
    <row r="20" spans="2:11" x14ac:dyDescent="0.35">
      <c r="B20" s="20" t="s">
        <v>838</v>
      </c>
      <c r="C20" s="56">
        <v>0.13</v>
      </c>
      <c r="D20" s="40">
        <v>0.2</v>
      </c>
      <c r="E20" s="20">
        <v>0.6</v>
      </c>
      <c r="F20" s="20" t="s">
        <v>955</v>
      </c>
      <c r="G20" s="20" t="s">
        <v>955</v>
      </c>
      <c r="H20" s="40" t="s">
        <v>955</v>
      </c>
    </row>
    <row r="24" spans="2:11" s="55" customFormat="1" ht="29" x14ac:dyDescent="0.35">
      <c r="B24" s="66" t="s">
        <v>852</v>
      </c>
      <c r="C24" s="67" t="s">
        <v>853</v>
      </c>
      <c r="D24" s="55" t="s">
        <v>854</v>
      </c>
      <c r="E24" s="55" t="s">
        <v>896</v>
      </c>
      <c r="F24" s="55" t="s">
        <v>855</v>
      </c>
      <c r="G24" s="67" t="s">
        <v>856</v>
      </c>
      <c r="H24" s="67" t="s">
        <v>857</v>
      </c>
      <c r="I24" s="67"/>
      <c r="J24" s="55" t="s">
        <v>897</v>
      </c>
      <c r="K24" s="55" t="s">
        <v>898</v>
      </c>
    </row>
    <row r="25" spans="2:11" x14ac:dyDescent="0.35">
      <c r="B25" s="56" t="s">
        <v>858</v>
      </c>
      <c r="C25" s="40" t="s">
        <v>859</v>
      </c>
      <c r="D25" s="20" t="s">
        <v>778</v>
      </c>
      <c r="E25" s="20" t="s">
        <v>795</v>
      </c>
      <c r="F25" s="20" t="s">
        <v>860</v>
      </c>
      <c r="G25" s="40" t="s">
        <v>861</v>
      </c>
      <c r="H25" s="40" t="s">
        <v>862</v>
      </c>
    </row>
    <row r="26" spans="2:11" x14ac:dyDescent="0.35">
      <c r="B26" s="56" t="s">
        <v>863</v>
      </c>
      <c r="C26" s="40" t="s">
        <v>864</v>
      </c>
      <c r="D26" s="20" t="s">
        <v>865</v>
      </c>
      <c r="E26" s="20" t="s">
        <v>866</v>
      </c>
      <c r="F26" s="20" t="s">
        <v>867</v>
      </c>
      <c r="G26" s="40" t="s">
        <v>868</v>
      </c>
      <c r="H26" s="40" t="s">
        <v>869</v>
      </c>
    </row>
    <row r="27" spans="2:11" x14ac:dyDescent="0.35">
      <c r="B27" s="56" t="s">
        <v>870</v>
      </c>
      <c r="C27" s="40" t="s">
        <v>890</v>
      </c>
      <c r="D27" s="20" t="s">
        <v>871</v>
      </c>
      <c r="E27" s="20">
        <v>-0.92700000000000005</v>
      </c>
      <c r="F27" s="20" t="s">
        <v>872</v>
      </c>
      <c r="G27" s="40">
        <v>-0.53200000000000003</v>
      </c>
      <c r="H27" s="40" t="s">
        <v>873</v>
      </c>
      <c r="J27" s="20" cm="1">
        <f t="array" ref="J27:J32">VALUE(_xlfn.TEXTBEFORE(F27:F32,"p"))</f>
        <v>3290</v>
      </c>
      <c r="K27" s="20" cm="1">
        <f t="array" ref="K27:K32">VALUE(_xlfn.TEXTAFTER(F27:F32,"="))</f>
        <v>1E-4</v>
      </c>
    </row>
    <row r="28" spans="2:11" x14ac:dyDescent="0.35">
      <c r="B28" s="56" t="s">
        <v>874</v>
      </c>
      <c r="C28" s="40" t="s">
        <v>891</v>
      </c>
      <c r="D28" s="20" t="s">
        <v>875</v>
      </c>
      <c r="E28" s="20">
        <v>-3.5000000000000003E-2</v>
      </c>
      <c r="F28" s="20" t="s">
        <v>876</v>
      </c>
      <c r="G28" s="40">
        <v>-1.9E-2</v>
      </c>
      <c r="H28" s="40" t="s">
        <v>877</v>
      </c>
      <c r="J28" s="20">
        <v>5389</v>
      </c>
      <c r="K28" s="20">
        <v>0.55500000000000005</v>
      </c>
    </row>
    <row r="29" spans="2:11" x14ac:dyDescent="0.35">
      <c r="B29" s="56" t="s">
        <v>878</v>
      </c>
      <c r="C29" s="40" t="s">
        <v>892</v>
      </c>
      <c r="D29" s="20" t="s">
        <v>879</v>
      </c>
      <c r="E29" s="20">
        <v>-0.33300000000000002</v>
      </c>
      <c r="F29" s="20" t="s">
        <v>880</v>
      </c>
      <c r="G29" s="40">
        <v>-0.17399999999999999</v>
      </c>
      <c r="H29" s="40" t="s">
        <v>877</v>
      </c>
      <c r="J29" s="20">
        <v>7553</v>
      </c>
      <c r="K29" s="20">
        <v>0.21099999999999999</v>
      </c>
    </row>
    <row r="30" spans="2:11" x14ac:dyDescent="0.35">
      <c r="B30" s="56" t="s">
        <v>881</v>
      </c>
      <c r="C30" s="40" t="s">
        <v>893</v>
      </c>
      <c r="D30" s="20" t="s">
        <v>882</v>
      </c>
      <c r="E30" s="20">
        <v>6.3E-2</v>
      </c>
      <c r="F30" s="20" t="s">
        <v>883</v>
      </c>
      <c r="G30" s="40">
        <v>3.5000000000000003E-2</v>
      </c>
      <c r="H30" s="40" t="s">
        <v>877</v>
      </c>
      <c r="J30" s="20">
        <v>10275</v>
      </c>
      <c r="K30" s="20">
        <v>0.76300000000000001</v>
      </c>
    </row>
    <row r="31" spans="2:11" x14ac:dyDescent="0.35">
      <c r="B31" s="56" t="s">
        <v>884</v>
      </c>
      <c r="C31" s="40" t="s">
        <v>894</v>
      </c>
      <c r="D31" s="20" t="s">
        <v>885</v>
      </c>
      <c r="E31" s="20">
        <v>-0.28199999999999997</v>
      </c>
      <c r="F31" s="20" t="s">
        <v>886</v>
      </c>
      <c r="G31" s="40">
        <v>-0.151</v>
      </c>
      <c r="H31" s="40" t="s">
        <v>877</v>
      </c>
      <c r="J31" s="20">
        <v>9430</v>
      </c>
      <c r="K31" s="20">
        <v>0.23400000000000001</v>
      </c>
    </row>
    <row r="32" spans="2:11" x14ac:dyDescent="0.35">
      <c r="B32" s="56" t="s">
        <v>887</v>
      </c>
      <c r="C32" s="40" t="s">
        <v>895</v>
      </c>
      <c r="D32" s="20" t="s">
        <v>888</v>
      </c>
      <c r="E32" s="20">
        <v>0.41599999999999998</v>
      </c>
      <c r="F32" s="20" t="s">
        <v>889</v>
      </c>
      <c r="G32" s="40">
        <v>0.25700000000000001</v>
      </c>
      <c r="H32" s="40" t="s">
        <v>877</v>
      </c>
      <c r="J32" s="20">
        <v>3151</v>
      </c>
      <c r="K32" s="20">
        <v>0.159</v>
      </c>
    </row>
    <row r="35" spans="1:22" x14ac:dyDescent="0.35">
      <c r="A35" s="20" t="s">
        <v>948</v>
      </c>
      <c r="B35" s="56" t="str" cm="1">
        <f t="array" ref="B35:B38">TRIM(_xlfn.TEXTAFTER(A35:A38,")"))</f>
        <v>38/24 32/19 38/25 42/33 44/32 33/22</v>
      </c>
      <c r="C35" s="56" t="str" cm="1">
        <f t="array" ref="C35:H35">_xlfn.TEXTSPLIT(B35," ")</f>
        <v>38/24</v>
      </c>
      <c r="D35" s="40" t="str">
        <v>32/19</v>
      </c>
      <c r="E35" s="20" t="str">
        <v>38/25</v>
      </c>
      <c r="F35" s="20" t="str">
        <v>42/33</v>
      </c>
      <c r="G35" s="20" t="str">
        <v>44/32</v>
      </c>
      <c r="H35" s="40" t="str">
        <v>33/22</v>
      </c>
    </row>
    <row r="36" spans="1:22" x14ac:dyDescent="0.35">
      <c r="A36" s="20" t="s">
        <v>949</v>
      </c>
      <c r="B36" s="56" t="str">
        <v>95/102 149/76 163/102 165/122 163/126 91/61</v>
      </c>
      <c r="C36" s="56" t="str" cm="1">
        <f t="array" ref="C36:H36">_xlfn.TEXTSPLIT(B36," ")</f>
        <v>95/102</v>
      </c>
      <c r="D36" s="40" t="str">
        <v>149/76</v>
      </c>
      <c r="E36" s="20" t="str">
        <v>163/102</v>
      </c>
      <c r="F36" s="20" t="str">
        <v>165/122</v>
      </c>
      <c r="G36" s="20" t="str">
        <v>163/126</v>
      </c>
      <c r="H36" s="40" t="str">
        <v>91/61</v>
      </c>
    </row>
    <row r="37" spans="1:22" x14ac:dyDescent="0.35">
      <c r="A37" s="20" t="s">
        <v>950</v>
      </c>
      <c r="B37" s="56" t="str">
        <v>-0.453 / +0.602 +0.441 / +0.368 -0.187 / +0.235 +0.056 / +0.091 +0.048 / +0.369 +0.434 / +0.059</v>
      </c>
      <c r="C37" s="56" t="str" cm="1">
        <f t="array" ref="C37:T37">_xlfn.TEXTSPLIT(B37," ")</f>
        <v>-0.453</v>
      </c>
      <c r="D37" s="40" t="str">
        <v>/</v>
      </c>
      <c r="E37" s="20" t="str">
        <v>+0.602</v>
      </c>
      <c r="F37" s="20" t="str">
        <v>+0.441</v>
      </c>
      <c r="G37" s="20" t="str">
        <v>/</v>
      </c>
      <c r="H37" s="40" t="str">
        <v>+0.368</v>
      </c>
      <c r="I37" s="40" t="str">
        <v>-0.187</v>
      </c>
      <c r="J37" s="20" t="str">
        <v>/</v>
      </c>
      <c r="K37" s="20" t="str">
        <v>+0.235</v>
      </c>
      <c r="L37" s="20" t="str">
        <v>+0.056</v>
      </c>
      <c r="M37" s="20" t="str">
        <v>/</v>
      </c>
      <c r="N37" s="20" t="str">
        <v>+0.091</v>
      </c>
      <c r="O37" s="20" t="str">
        <v>+0.048</v>
      </c>
      <c r="P37" s="20" t="str">
        <v>/</v>
      </c>
      <c r="Q37" s="20" t="str">
        <v>+0.369</v>
      </c>
      <c r="R37" s="20" t="str">
        <v>+0.434</v>
      </c>
      <c r="S37" s="20" t="str">
        <v>/</v>
      </c>
      <c r="T37" s="20" t="str">
        <v>+0.059</v>
      </c>
    </row>
    <row r="38" spans="1:22" x14ac:dyDescent="0.35">
      <c r="A38" s="20" t="s">
        <v>951</v>
      </c>
      <c r="B38" s="56" t="str">
        <v>-1.055 +0.073 -0.422 -0.034 -0.321 +0.375</v>
      </c>
      <c r="C38" s="56" t="str" cm="1">
        <f t="array" ref="C38:H38">_xlfn.TEXTSPLIT(B38," ")</f>
        <v>-1.055</v>
      </c>
      <c r="D38" s="40" t="str">
        <v>+0.073</v>
      </c>
      <c r="E38" s="20" t="str">
        <v>-0.422</v>
      </c>
      <c r="F38" s="20" t="str">
        <v>-0.034</v>
      </c>
      <c r="G38" s="20" t="str">
        <v>-0.321</v>
      </c>
      <c r="H38" s="40" t="str">
        <v>+0.375</v>
      </c>
    </row>
    <row r="39" spans="1:22" x14ac:dyDescent="0.35">
      <c r="A39" s="20" t="s">
        <v>952</v>
      </c>
      <c r="B39" s="56" t="str" cm="1">
        <f t="array" ref="B39:B41">TRIM(_xlfn.TEXTAFTER(A39:A41," "))</f>
        <v>3351 5488 7392 9989 9283 3080</v>
      </c>
      <c r="C39" s="56" t="str" cm="1">
        <f t="array" ref="C39:H39">_xlfn.TEXTSPLIT(B39," ")</f>
        <v>3351</v>
      </c>
      <c r="D39" s="40" t="str">
        <v>5488</v>
      </c>
      <c r="E39" s="20" t="str">
        <v>7392</v>
      </c>
      <c r="F39" s="20" t="str">
        <v>9989</v>
      </c>
      <c r="G39" s="20" t="str">
        <v>9283</v>
      </c>
      <c r="H39" s="40" t="str">
        <v>3080</v>
      </c>
    </row>
    <row r="40" spans="1:22" x14ac:dyDescent="0.35">
      <c r="A40" s="20" t="s">
        <v>953</v>
      </c>
      <c r="B40" s="56" t="str">
        <v>0.0002 0.7071 0.1294 0.9135 0.1619 0.2532</v>
      </c>
      <c r="C40" s="56" t="str" cm="1">
        <f t="array" ref="C40:H40">_xlfn.TEXTSPLIT(B40," ")</f>
        <v>0.0002</v>
      </c>
      <c r="D40" s="40" t="str">
        <v>0.7071</v>
      </c>
      <c r="E40" s="20" t="str">
        <v>0.1294</v>
      </c>
      <c r="F40" s="20" t="str">
        <v>0.9135</v>
      </c>
      <c r="G40" s="20" t="str">
        <v>0.1619</v>
      </c>
      <c r="H40" s="40" t="str">
        <v>0.2532</v>
      </c>
    </row>
    <row r="41" spans="1:22" x14ac:dyDescent="0.35">
      <c r="A41" s="20" t="s">
        <v>954</v>
      </c>
      <c r="B41" s="56" t="str">
        <v>Highly Significant - - - - -</v>
      </c>
      <c r="C41" s="56" t="str" cm="1">
        <f t="array" ref="C41:I41">_xlfn.TEXTSPLIT(B41," ")</f>
        <v>Highly</v>
      </c>
      <c r="D41" s="40" t="str">
        <v>Significant</v>
      </c>
      <c r="E41" s="20" t="str">
        <v>-</v>
      </c>
      <c r="F41" s="20" t="str">
        <v>-</v>
      </c>
      <c r="G41" s="20" t="str">
        <v>-</v>
      </c>
      <c r="H41" s="40" t="str">
        <v>-</v>
      </c>
      <c r="I41" s="40" t="str">
        <v>-</v>
      </c>
    </row>
    <row r="43" spans="1:22" x14ac:dyDescent="0.35">
      <c r="C43" s="56" t="str">
        <f>_xlfn.TEXTJOIN(" ",,C37:E37)</f>
        <v>-0.453 / +0.602</v>
      </c>
      <c r="D43" s="56" t="str">
        <f>_xlfn.TEXTJOIN(" ",,F37:H37)</f>
        <v>+0.441 / +0.368</v>
      </c>
      <c r="E43" s="56" t="str">
        <f>_xlfn.TEXTJOIN(" ",,I37:K37)</f>
        <v>-0.187 / +0.235</v>
      </c>
      <c r="F43" s="56" t="str">
        <f>_xlfn.TEXTJOIN(" ",,L37:N37)</f>
        <v>+0.056 / +0.091</v>
      </c>
      <c r="G43" s="56" t="str">
        <f>_xlfn.TEXTJOIN(" ",,O37:Q37)</f>
        <v>+0.048 / +0.369</v>
      </c>
      <c r="H43" s="56" t="str">
        <f>_xlfn.TEXTJOIN(" ",,R37:T37)</f>
        <v>+0.434 / +0.059</v>
      </c>
    </row>
    <row r="46" spans="1:22" x14ac:dyDescent="0.35">
      <c r="B46" s="20" t="s">
        <v>956</v>
      </c>
      <c r="C46" s="56" t="s">
        <v>957</v>
      </c>
      <c r="D46" s="40" t="s">
        <v>958</v>
      </c>
      <c r="E46" s="20" t="s">
        <v>959</v>
      </c>
      <c r="F46" s="20" t="s">
        <v>960</v>
      </c>
      <c r="G46" s="20" t="s">
        <v>961</v>
      </c>
      <c r="H46" s="40" t="s">
        <v>962</v>
      </c>
      <c r="I46" s="40" t="s">
        <v>963</v>
      </c>
      <c r="J46" s="20" t="s">
        <v>964</v>
      </c>
      <c r="K46" s="20" t="s">
        <v>965</v>
      </c>
    </row>
    <row r="47" spans="1:22" x14ac:dyDescent="0.35">
      <c r="B47" s="20" t="s">
        <v>956</v>
      </c>
      <c r="C47" s="56" t="s">
        <v>957</v>
      </c>
      <c r="D47" s="40" t="s">
        <v>792</v>
      </c>
      <c r="E47" s="20" t="s">
        <v>959</v>
      </c>
      <c r="F47" s="20" t="s">
        <v>966</v>
      </c>
      <c r="G47" s="20" t="s">
        <v>967</v>
      </c>
      <c r="H47" s="40" t="s">
        <v>968</v>
      </c>
      <c r="I47" s="40" t="s">
        <v>969</v>
      </c>
      <c r="J47" s="20" t="s">
        <v>970</v>
      </c>
      <c r="K47" s="20" t="s">
        <v>971</v>
      </c>
    </row>
    <row r="48" spans="1:22" x14ac:dyDescent="0.35">
      <c r="B48" s="20" t="s">
        <v>972</v>
      </c>
      <c r="C48" s="56" t="s">
        <v>770</v>
      </c>
      <c r="D48" s="40" t="s">
        <v>959</v>
      </c>
      <c r="E48" s="20">
        <v>-0.39</v>
      </c>
      <c r="F48" s="20" t="s">
        <v>973</v>
      </c>
      <c r="G48" s="20">
        <v>0.51300000000000001</v>
      </c>
      <c r="H48" s="40">
        <v>0.47199999999999998</v>
      </c>
      <c r="I48" s="40" t="s">
        <v>973</v>
      </c>
      <c r="J48" s="20">
        <v>0.214</v>
      </c>
      <c r="K48" s="20">
        <v>-0.32900000000000001</v>
      </c>
      <c r="L48" s="20" t="s">
        <v>973</v>
      </c>
      <c r="M48" s="20">
        <v>0.38900000000000001</v>
      </c>
      <c r="N48" s="20">
        <v>2.9000000000000001E-2</v>
      </c>
      <c r="O48" s="20" t="s">
        <v>973</v>
      </c>
      <c r="P48" s="20">
        <v>0.156</v>
      </c>
      <c r="Q48" s="20">
        <v>0.1</v>
      </c>
      <c r="R48" s="20" t="s">
        <v>973</v>
      </c>
      <c r="S48" s="20">
        <v>0.24299999999999999</v>
      </c>
      <c r="T48" s="20">
        <v>0.46</v>
      </c>
      <c r="U48" s="20" t="s">
        <v>973</v>
      </c>
      <c r="V48" s="20">
        <v>-0.11600000000000001</v>
      </c>
    </row>
    <row r="49" spans="2:11" x14ac:dyDescent="0.35">
      <c r="B49" s="20" t="s">
        <v>850</v>
      </c>
      <c r="C49" s="56" t="s">
        <v>974</v>
      </c>
      <c r="D49" s="40" t="s">
        <v>900</v>
      </c>
      <c r="E49" s="20" t="s">
        <v>975</v>
      </c>
      <c r="F49" s="20">
        <v>-0.90400000000000003</v>
      </c>
      <c r="G49" s="20">
        <v>0.25800000000000001</v>
      </c>
      <c r="H49" s="40">
        <v>-0.71799999999999997</v>
      </c>
      <c r="I49" s="40">
        <v>-0.127</v>
      </c>
      <c r="J49" s="20">
        <v>-0.14299999999999999</v>
      </c>
      <c r="K49" s="20">
        <v>0.57599999999999996</v>
      </c>
    </row>
    <row r="50" spans="2:11" x14ac:dyDescent="0.35">
      <c r="B50" s="20" t="s">
        <v>897</v>
      </c>
      <c r="C50" s="56">
        <v>2626</v>
      </c>
      <c r="D50" s="40">
        <v>6272</v>
      </c>
      <c r="E50" s="20">
        <v>7144</v>
      </c>
      <c r="F50" s="20">
        <v>11082</v>
      </c>
      <c r="G50" s="20">
        <v>10192</v>
      </c>
      <c r="H50" s="40">
        <v>2979</v>
      </c>
    </row>
    <row r="51" spans="2:11" x14ac:dyDescent="0.35">
      <c r="B51" s="20" t="s">
        <v>898</v>
      </c>
      <c r="C51" s="56">
        <v>3.0999999999999999E-3</v>
      </c>
      <c r="D51" s="40">
        <v>0.6593</v>
      </c>
      <c r="E51" s="20">
        <v>3.3999999999999998E-3</v>
      </c>
      <c r="F51" s="20">
        <v>0.60580000000000001</v>
      </c>
      <c r="G51" s="20">
        <v>0.51339999999999997</v>
      </c>
      <c r="H51" s="40">
        <v>0.1115</v>
      </c>
    </row>
    <row r="52" spans="2:11" x14ac:dyDescent="0.35">
      <c r="B52" s="20" t="s">
        <v>976</v>
      </c>
      <c r="C52" s="56" t="s">
        <v>977</v>
      </c>
      <c r="D52" s="40" t="s">
        <v>978</v>
      </c>
      <c r="E52" s="20" t="s">
        <v>900</v>
      </c>
      <c r="F52" s="20" t="s">
        <v>977</v>
      </c>
      <c r="G52" s="20" t="s">
        <v>978</v>
      </c>
      <c r="H52" s="40" t="s">
        <v>900</v>
      </c>
      <c r="I52" s="40" t="s">
        <v>900</v>
      </c>
      <c r="J52" s="20" t="s">
        <v>900</v>
      </c>
    </row>
    <row r="54" spans="2:11" x14ac:dyDescent="0.35">
      <c r="E54" s="56" t="str">
        <f>_xlfn.TEXTJOIN(" ",,E48:G48)</f>
        <v>-0.39 / 0.513</v>
      </c>
      <c r="F54" s="56" t="str">
        <f>_xlfn.TEXTJOIN(" ",,H48:J48)</f>
        <v>0.472 / 0.214</v>
      </c>
      <c r="G54" s="56" t="str">
        <f>_xlfn.TEXTJOIN(" ",,K48:M48)</f>
        <v>-0.329 / 0.389</v>
      </c>
      <c r="H54" s="56" t="str">
        <f>_xlfn.TEXTJOIN(" ",,N48:P48)</f>
        <v>0.029 / 0.156</v>
      </c>
      <c r="I54" s="56" t="str">
        <f>_xlfn.TEXTJOIN(" ",,Q48:S48)</f>
        <v>0.1 / 0.243</v>
      </c>
      <c r="J54" s="56" t="str">
        <f>_xlfn.TEXTJOIN(" ",,T48:V48)</f>
        <v>0.46 / -0.116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CB53-2941-4642-9382-91358B7FAA54}">
  <dimension ref="B2:K26"/>
  <sheetViews>
    <sheetView showGridLines="0" zoomScale="145" zoomScaleNormal="145" workbookViewId="0">
      <selection activeCell="H10" sqref="C4:H10"/>
    </sheetView>
  </sheetViews>
  <sheetFormatPr defaultRowHeight="14.5" outlineLevelRow="1" x14ac:dyDescent="0.35"/>
  <cols>
    <col min="1" max="1" width="8.7265625" style="20"/>
    <col min="2" max="2" width="13" style="20" bestFit="1" customWidth="1"/>
    <col min="3" max="3" width="9.08984375" style="56" customWidth="1"/>
    <col min="4" max="4" width="9.08984375" style="40" customWidth="1"/>
    <col min="5" max="7" width="9.08984375" style="20" customWidth="1"/>
    <col min="8" max="8" width="19.453125" style="40" bestFit="1" customWidth="1"/>
    <col min="9" max="9" width="13.6328125" style="40" customWidth="1"/>
    <col min="10" max="16384" width="8.7265625" style="20"/>
  </cols>
  <sheetData>
    <row r="2" spans="2:11" ht="15" thickBot="1" x14ac:dyDescent="0.4">
      <c r="C2"/>
      <c r="D2"/>
      <c r="E2"/>
      <c r="F2"/>
      <c r="G2"/>
      <c r="H2"/>
      <c r="I2"/>
    </row>
    <row r="3" spans="2:11" s="55" customFormat="1" ht="28.5" thickBot="1" x14ac:dyDescent="0.4">
      <c r="B3" s="65" t="s">
        <v>834</v>
      </c>
      <c r="C3" s="52" t="s">
        <v>958</v>
      </c>
      <c r="D3" s="52" t="s">
        <v>792</v>
      </c>
      <c r="E3" s="52" t="s">
        <v>982</v>
      </c>
      <c r="F3" s="52" t="s">
        <v>983</v>
      </c>
      <c r="G3" s="70" t="s">
        <v>984</v>
      </c>
      <c r="H3" s="71" t="s">
        <v>851</v>
      </c>
    </row>
    <row r="4" spans="2:11" ht="15" thickTop="1" x14ac:dyDescent="0.3">
      <c r="B4" s="61" t="s">
        <v>836</v>
      </c>
      <c r="C4" s="68" cm="1">
        <f t="array" ref="C4:D5">D18:E19</f>
        <v>98</v>
      </c>
      <c r="D4" s="68">
        <v>633</v>
      </c>
      <c r="E4" s="63" cm="1">
        <f t="array" ref="E4:E5">F18:F19</f>
        <v>0.25</v>
      </c>
      <c r="F4" s="63" cm="1">
        <f t="array" ref="F4:F5">H18:H19</f>
        <v>0.28000000000000003</v>
      </c>
      <c r="G4" s="126" cm="1">
        <f t="array" ref="G4:G5">J18:J19</f>
        <v>1.9</v>
      </c>
      <c r="H4" s="72"/>
      <c r="I4" s="20"/>
    </row>
    <row r="5" spans="2:11" x14ac:dyDescent="0.3">
      <c r="B5" s="62" t="s">
        <v>837</v>
      </c>
      <c r="C5" s="69">
        <v>134</v>
      </c>
      <c r="D5" s="69">
        <v>778</v>
      </c>
      <c r="E5" s="110">
        <v>0.06</v>
      </c>
      <c r="F5" s="110">
        <v>0.04</v>
      </c>
      <c r="G5" s="127">
        <v>1.92</v>
      </c>
      <c r="H5" s="73"/>
      <c r="I5" s="20"/>
    </row>
    <row r="6" spans="2:11" x14ac:dyDescent="0.3">
      <c r="B6" s="62" t="s">
        <v>850</v>
      </c>
      <c r="C6" s="69" t="s">
        <v>900</v>
      </c>
      <c r="D6" s="69" t="s">
        <v>900</v>
      </c>
      <c r="E6" s="110">
        <f>-F20</f>
        <v>-0.19</v>
      </c>
      <c r="F6" s="110">
        <f>-H20</f>
        <v>-0.25</v>
      </c>
      <c r="G6" s="127" t="s">
        <v>900</v>
      </c>
      <c r="H6" s="73"/>
      <c r="I6" s="20"/>
    </row>
    <row r="7" spans="2:11" x14ac:dyDescent="0.35">
      <c r="B7" s="74" t="str" cm="1">
        <f t="array" ref="B7:B10">TRIM(TRANSPOSE(D23:G23))</f>
        <v>U</v>
      </c>
      <c r="C7" s="75"/>
      <c r="D7" s="76"/>
      <c r="E7" s="77"/>
      <c r="F7" s="77"/>
      <c r="G7" s="78"/>
      <c r="H7" s="34" t="str">
        <f>"U = "&amp;TEXT(E24,"###,###")</f>
        <v>U = 231,706</v>
      </c>
    </row>
    <row r="8" spans="2:11" x14ac:dyDescent="0.35">
      <c r="B8" s="74" t="str">
        <v>test</v>
      </c>
      <c r="C8" s="75"/>
      <c r="D8" s="76"/>
      <c r="E8" s="77"/>
      <c r="F8" s="77"/>
      <c r="G8" s="78"/>
      <c r="H8" s="34">
        <f>E25</f>
        <v>5.6000000000000001E-2</v>
      </c>
    </row>
    <row r="9" spans="2:11" hidden="1" outlineLevel="1" x14ac:dyDescent="0.35">
      <c r="B9" s="74" t="str">
        <v>(All</v>
      </c>
      <c r="C9" s="75"/>
      <c r="D9" s="76"/>
      <c r="E9" s="77"/>
      <c r="F9" s="77"/>
      <c r="G9" s="78"/>
      <c r="H9" s="34" t="s">
        <v>900</v>
      </c>
    </row>
    <row r="10" spans="2:11" ht="15" collapsed="1" thickBot="1" x14ac:dyDescent="0.4">
      <c r="B10" s="79" t="str">
        <v>Seasons):</v>
      </c>
      <c r="C10" s="80"/>
      <c r="D10" s="81"/>
      <c r="E10" s="82"/>
      <c r="F10" s="82"/>
      <c r="G10" s="83"/>
      <c r="H10" s="39" t="str">
        <f>_xlfn.TEXTJOIN(" ",,E26:F26)</f>
        <v>Marginally significant</v>
      </c>
    </row>
    <row r="16" spans="2:11" s="55" customFormat="1" ht="29" x14ac:dyDescent="0.35">
      <c r="B16" s="55" t="s">
        <v>847</v>
      </c>
      <c r="C16" s="66" t="s">
        <v>834</v>
      </c>
      <c r="D16" s="67" t="s">
        <v>958</v>
      </c>
      <c r="E16" s="55" t="s">
        <v>792</v>
      </c>
      <c r="F16" s="55" t="s">
        <v>972</v>
      </c>
      <c r="G16" s="55" t="s">
        <v>770</v>
      </c>
      <c r="H16" s="67" t="s">
        <v>979</v>
      </c>
      <c r="I16" s="67" t="s">
        <v>770</v>
      </c>
      <c r="J16" s="55" t="s">
        <v>980</v>
      </c>
      <c r="K16" s="55" t="s">
        <v>981</v>
      </c>
    </row>
    <row r="17" spans="2:10" x14ac:dyDescent="0.35">
      <c r="B17" s="20" t="s">
        <v>847</v>
      </c>
      <c r="C17" s="56" t="s">
        <v>985</v>
      </c>
    </row>
    <row r="18" spans="2:10" x14ac:dyDescent="0.35">
      <c r="B18" s="20" t="s">
        <v>847</v>
      </c>
      <c r="C18" s="56" t="s">
        <v>836</v>
      </c>
      <c r="D18" s="40">
        <v>98</v>
      </c>
      <c r="E18" s="20">
        <v>633</v>
      </c>
      <c r="F18" s="20">
        <v>0.25</v>
      </c>
      <c r="G18" s="20" t="s">
        <v>986</v>
      </c>
      <c r="H18" s="40">
        <v>0.28000000000000003</v>
      </c>
      <c r="I18" s="40" t="s">
        <v>986</v>
      </c>
      <c r="J18" s="20">
        <v>1.9</v>
      </c>
    </row>
    <row r="19" spans="2:10" x14ac:dyDescent="0.35">
      <c r="B19" s="20" t="s">
        <v>847</v>
      </c>
      <c r="C19" s="56" t="s">
        <v>837</v>
      </c>
      <c r="D19" s="40">
        <v>134</v>
      </c>
      <c r="E19" s="20">
        <v>778</v>
      </c>
      <c r="F19" s="20">
        <v>0.06</v>
      </c>
      <c r="G19" s="20" t="s">
        <v>986</v>
      </c>
      <c r="H19" s="40">
        <v>0.04</v>
      </c>
      <c r="I19" s="40" t="s">
        <v>986</v>
      </c>
      <c r="J19" s="20">
        <v>1.92</v>
      </c>
    </row>
    <row r="20" spans="2:10" x14ac:dyDescent="0.35">
      <c r="B20" s="20" t="s">
        <v>847</v>
      </c>
      <c r="C20" s="56" t="s">
        <v>850</v>
      </c>
      <c r="D20" s="40">
        <v>-36</v>
      </c>
      <c r="E20" s="20">
        <v>-145</v>
      </c>
      <c r="F20" s="20">
        <v>0.19</v>
      </c>
      <c r="G20" s="20" t="s">
        <v>986</v>
      </c>
      <c r="H20" s="40">
        <v>0.25</v>
      </c>
      <c r="I20" s="40" t="s">
        <v>986</v>
      </c>
      <c r="J20" s="20">
        <v>-0.02</v>
      </c>
    </row>
    <row r="23" spans="2:10" s="55" customFormat="1" x14ac:dyDescent="0.35">
      <c r="B23" s="55" t="s">
        <v>846</v>
      </c>
      <c r="C23" s="66" t="s">
        <v>987</v>
      </c>
      <c r="D23" s="67" t="s">
        <v>988</v>
      </c>
      <c r="E23" s="55" t="s">
        <v>989</v>
      </c>
      <c r="F23" s="55" t="s">
        <v>990</v>
      </c>
      <c r="G23" s="55" t="s">
        <v>991</v>
      </c>
      <c r="H23" s="67"/>
      <c r="I23" s="67"/>
    </row>
    <row r="24" spans="2:10" x14ac:dyDescent="0.35">
      <c r="B24" s="20" t="s">
        <v>847</v>
      </c>
      <c r="D24" s="40" t="s">
        <v>992</v>
      </c>
      <c r="E24" s="128">
        <v>231706</v>
      </c>
    </row>
    <row r="25" spans="2:10" x14ac:dyDescent="0.35">
      <c r="B25" s="20" t="s">
        <v>847</v>
      </c>
      <c r="D25" s="40" t="s">
        <v>993</v>
      </c>
      <c r="E25" s="20">
        <v>5.6000000000000001E-2</v>
      </c>
    </row>
    <row r="26" spans="2:10" x14ac:dyDescent="0.35">
      <c r="B26" s="20" t="s">
        <v>847</v>
      </c>
      <c r="D26" s="40" t="s">
        <v>994</v>
      </c>
      <c r="E26" s="20" t="s">
        <v>995</v>
      </c>
      <c r="F26" s="20" t="s">
        <v>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AF39-4FCA-4ECA-9A3F-8206E401F864}">
  <dimension ref="B1:I10"/>
  <sheetViews>
    <sheetView showGridLines="0" zoomScale="145" zoomScaleNormal="145" workbookViewId="0">
      <selection activeCell="J13" sqref="J13"/>
    </sheetView>
  </sheetViews>
  <sheetFormatPr defaultRowHeight="14.5" x14ac:dyDescent="0.35"/>
  <cols>
    <col min="1" max="1" width="8.7265625" style="20"/>
    <col min="2" max="2" width="19.36328125" style="20" customWidth="1"/>
    <col min="3" max="4" width="21.08984375" style="20" customWidth="1"/>
    <col min="5" max="8" width="14.90625" style="20" customWidth="1"/>
    <col min="9" max="16384" width="8.7265625" style="20"/>
  </cols>
  <sheetData>
    <row r="1" spans="2:9" ht="15" thickBot="1" x14ac:dyDescent="0.4"/>
    <row r="2" spans="2:9" s="55" customFormat="1" ht="28.5" thickBot="1" x14ac:dyDescent="0.4">
      <c r="B2" s="51" t="str" cm="1">
        <f t="array" ref="B2:H5">TRIM(C7:I10)</f>
        <v>Validation Strategy</v>
      </c>
      <c r="C2" s="52" t="str">
        <v>Training Samples</v>
      </c>
      <c r="D2" s="52" t="str">
        <v>Test Samples</v>
      </c>
      <c r="E2" s="52" t="str">
        <v>Train R²</v>
      </c>
      <c r="F2" s="52" t="str">
        <v>Test R²</v>
      </c>
      <c r="G2" s="52" t="str">
        <v>Test RMSE</v>
      </c>
      <c r="H2" s="54" t="str">
        <v>Generalization Gap</v>
      </c>
    </row>
    <row r="3" spans="2:9" ht="28.5" thickTop="1" x14ac:dyDescent="0.35">
      <c r="B3" s="102" t="str">
        <v>Temporal Holdout (2020-2024)</v>
      </c>
      <c r="C3" s="99" t="str">
        <v>1,523 seasons 
(1970-2019)</v>
      </c>
      <c r="D3" s="99" t="str">
        <v>160 seasons
(2020-2024)</v>
      </c>
      <c r="E3" s="27" t="str">
        <v>0.824</v>
      </c>
      <c r="F3" s="28" t="str">
        <v>0.731</v>
      </c>
      <c r="G3" s="28" t="str">
        <v>0.098</v>
      </c>
      <c r="H3" s="29" t="str">
        <v>0.093</v>
      </c>
    </row>
    <row r="4" spans="2:9" ht="28" x14ac:dyDescent="0.35">
      <c r="B4" s="103" t="str">
        <v>Holdout Coaches</v>
      </c>
      <c r="C4" s="100" t="str">
        <v>1,363 seasons
(216 coaches)</v>
      </c>
      <c r="D4" s="100" t="str">
        <v>320 seasons
(54 coaches)</v>
      </c>
      <c r="E4" s="32" t="str">
        <v>0.816</v>
      </c>
      <c r="F4" s="33" t="str">
        <v>0.745</v>
      </c>
      <c r="G4" s="33" t="str">
        <v>0.097</v>
      </c>
      <c r="H4" s="34" t="str">
        <v>0.071</v>
      </c>
    </row>
    <row r="5" spans="2:9" ht="42.5" thickBot="1" x14ac:dyDescent="0.4">
      <c r="B5" s="104" t="str">
        <v>New Coaches in Modern Era</v>
      </c>
      <c r="C5" s="101" t="str">
        <v>1,652 seasons
(pre-2020 + 80% of 2020-2024)</v>
      </c>
      <c r="D5" s="101" t="str">
        <v>31 seasons
(11 new coaches, 2020-2024)</v>
      </c>
      <c r="E5" s="37" t="str">
        <v>0.811</v>
      </c>
      <c r="F5" s="38" t="str">
        <v>0.771</v>
      </c>
      <c r="G5" s="38" t="str">
        <v>0.093</v>
      </c>
      <c r="H5" s="39" t="str">
        <v>0.041</v>
      </c>
    </row>
    <row r="7" spans="2:9" x14ac:dyDescent="0.35">
      <c r="C7" s="20" t="s">
        <v>902</v>
      </c>
      <c r="D7" s="20" t="s">
        <v>903</v>
      </c>
      <c r="E7" s="20" t="s">
        <v>904</v>
      </c>
      <c r="F7" s="20" t="s">
        <v>905</v>
      </c>
      <c r="G7" s="20" t="s">
        <v>906</v>
      </c>
      <c r="H7" s="20" t="s">
        <v>907</v>
      </c>
      <c r="I7" s="20" t="s">
        <v>908</v>
      </c>
    </row>
    <row r="8" spans="2:9" ht="29" x14ac:dyDescent="0.35">
      <c r="B8" s="20" t="s">
        <v>847</v>
      </c>
      <c r="C8" s="20" t="s">
        <v>909</v>
      </c>
      <c r="D8" s="55" t="s">
        <v>912</v>
      </c>
      <c r="E8" s="55" t="s">
        <v>915</v>
      </c>
      <c r="F8" s="20">
        <v>0.82399999999999995</v>
      </c>
      <c r="G8" s="20">
        <v>0.73099999999999998</v>
      </c>
      <c r="H8" s="20">
        <v>9.8000000000000004E-2</v>
      </c>
      <c r="I8" s="20">
        <v>9.2999999999999999E-2</v>
      </c>
    </row>
    <row r="9" spans="2:9" ht="29" x14ac:dyDescent="0.35">
      <c r="B9" s="20" t="s">
        <v>847</v>
      </c>
      <c r="C9" s="20" t="s">
        <v>910</v>
      </c>
      <c r="D9" s="55" t="s">
        <v>913</v>
      </c>
      <c r="E9" s="55" t="s">
        <v>916</v>
      </c>
      <c r="F9" s="20">
        <v>0.81599999999999995</v>
      </c>
      <c r="G9" s="20">
        <v>0.745</v>
      </c>
      <c r="H9" s="20">
        <v>9.7000000000000003E-2</v>
      </c>
      <c r="I9" s="20">
        <v>7.0999999999999994E-2</v>
      </c>
    </row>
    <row r="10" spans="2:9" ht="43.5" x14ac:dyDescent="0.35">
      <c r="B10" s="20" t="s">
        <v>847</v>
      </c>
      <c r="C10" s="20" t="s">
        <v>911</v>
      </c>
      <c r="D10" s="55" t="s">
        <v>914</v>
      </c>
      <c r="E10" s="55" t="s">
        <v>917</v>
      </c>
      <c r="F10" s="20">
        <v>0.81100000000000005</v>
      </c>
      <c r="G10" s="20">
        <v>0.77100000000000002</v>
      </c>
      <c r="H10" s="20">
        <v>9.2999999999999999E-2</v>
      </c>
      <c r="I10" s="20">
        <v>4.1000000000000002E-2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2C9B-D870-448B-8B15-7E5FEE5BEFC2}">
  <dimension ref="B1:G15"/>
  <sheetViews>
    <sheetView showGridLines="0" zoomScale="145" zoomScaleNormal="145" workbookViewId="0">
      <selection activeCell="L7" sqref="L7"/>
    </sheetView>
  </sheetViews>
  <sheetFormatPr defaultRowHeight="14.5" x14ac:dyDescent="0.35"/>
  <cols>
    <col min="1" max="1" width="8.7265625" style="20"/>
    <col min="2" max="6" width="17.08984375" style="20" customWidth="1"/>
    <col min="7" max="8" width="14.90625" style="20" customWidth="1"/>
    <col min="9" max="16384" width="8.7265625" style="20"/>
  </cols>
  <sheetData>
    <row r="1" spans="2:7" ht="15" thickBot="1" x14ac:dyDescent="0.4"/>
    <row r="2" spans="2:7" s="55" customFormat="1" ht="28.5" thickBot="1" x14ac:dyDescent="0.4">
      <c r="B2" s="51" t="str" cm="1">
        <f t="array" ref="B2:F2">TRIM(C9:G9)</f>
        <v>Quintile</v>
      </c>
      <c r="C2" s="52" t="str">
        <v>Year N WAR (games)</v>
      </c>
      <c r="D2" s="52" t="str">
        <v>Year N+1 WAR (games)</v>
      </c>
      <c r="E2" s="52" t="str">
        <v>Change (games)</v>
      </c>
      <c r="F2" s="54" t="str">
        <v>% Retained</v>
      </c>
    </row>
    <row r="3" spans="2:7" ht="15" thickTop="1" x14ac:dyDescent="0.35">
      <c r="B3" s="102" t="str" cm="1">
        <f t="array" ref="B3:B7">C11:C15</f>
        <v xml:space="preserve"> Q1 (Worst)  </v>
      </c>
      <c r="C3" s="106" cm="1">
        <f t="array" ref="C3:F7">IFERROR(VALUE(D11:G15),TRIM(D11:G15))</f>
        <v>-2.33</v>
      </c>
      <c r="D3" s="106">
        <v>-0.93</v>
      </c>
      <c r="E3" s="63">
        <v>1.4</v>
      </c>
      <c r="F3" s="45">
        <v>0.4</v>
      </c>
    </row>
    <row r="4" spans="2:7" x14ac:dyDescent="0.35">
      <c r="B4" s="105" t="str">
        <v xml:space="preserve"> Q2          </v>
      </c>
      <c r="C4" s="107">
        <v>-0.77</v>
      </c>
      <c r="D4" s="107">
        <v>-0.59</v>
      </c>
      <c r="E4" s="108">
        <v>0.18</v>
      </c>
      <c r="F4" s="64">
        <v>0.77</v>
      </c>
    </row>
    <row r="5" spans="2:7" x14ac:dyDescent="0.35">
      <c r="B5" s="105" t="str">
        <v xml:space="preserve"> Q3 (Middle) </v>
      </c>
      <c r="C5" s="107">
        <v>0.17</v>
      </c>
      <c r="D5" s="107">
        <v>-0.1</v>
      </c>
      <c r="E5" s="108">
        <v>-0.27</v>
      </c>
      <c r="F5" s="64" t="str">
        <v>N/A</v>
      </c>
    </row>
    <row r="6" spans="2:7" x14ac:dyDescent="0.35">
      <c r="B6" s="103" t="str">
        <v xml:space="preserve"> Q4          </v>
      </c>
      <c r="C6" s="109">
        <v>1.1499999999999999</v>
      </c>
      <c r="D6" s="109">
        <v>0.35</v>
      </c>
      <c r="E6" s="110">
        <v>-0.8</v>
      </c>
      <c r="F6" s="46">
        <v>0.3</v>
      </c>
    </row>
    <row r="7" spans="2:7" ht="15" thickBot="1" x14ac:dyDescent="0.4">
      <c r="B7" s="104" t="str">
        <v xml:space="preserve"> Q5 (Best)   </v>
      </c>
      <c r="C7" s="111">
        <v>2.64</v>
      </c>
      <c r="D7" s="111">
        <v>0.65</v>
      </c>
      <c r="E7" s="112">
        <v>-1.99</v>
      </c>
      <c r="F7" s="47">
        <v>0.25</v>
      </c>
    </row>
    <row r="9" spans="2:7" x14ac:dyDescent="0.35">
      <c r="B9" s="20" t="s">
        <v>846</v>
      </c>
      <c r="C9" s="20" t="s">
        <v>918</v>
      </c>
      <c r="D9" s="20" t="s">
        <v>919</v>
      </c>
      <c r="E9" s="20" t="s">
        <v>920</v>
      </c>
      <c r="F9" s="20" t="s">
        <v>921</v>
      </c>
      <c r="G9" s="20" t="s">
        <v>922</v>
      </c>
    </row>
    <row r="10" spans="2:7" x14ac:dyDescent="0.35">
      <c r="B10" s="20" t="s">
        <v>847</v>
      </c>
      <c r="C10" s="20" t="s">
        <v>776</v>
      </c>
      <c r="D10" s="55" t="s">
        <v>849</v>
      </c>
      <c r="E10" s="55" t="s">
        <v>923</v>
      </c>
      <c r="F10" s="20" t="s">
        <v>848</v>
      </c>
      <c r="G10" s="20" t="s">
        <v>795</v>
      </c>
    </row>
    <row r="11" spans="2:7" x14ac:dyDescent="0.35">
      <c r="B11" s="20" t="s">
        <v>847</v>
      </c>
      <c r="C11" s="20" t="s">
        <v>924</v>
      </c>
      <c r="D11" s="113">
        <v>-2.33</v>
      </c>
      <c r="E11" s="113">
        <v>-0.93</v>
      </c>
      <c r="F11" s="114">
        <v>1.4</v>
      </c>
      <c r="G11" s="114">
        <v>0.4</v>
      </c>
    </row>
    <row r="12" spans="2:7" x14ac:dyDescent="0.35">
      <c r="B12" s="20" t="s">
        <v>847</v>
      </c>
      <c r="C12" s="20" t="s">
        <v>925</v>
      </c>
      <c r="D12" s="113">
        <v>-0.77</v>
      </c>
      <c r="E12" s="113">
        <v>-0.59</v>
      </c>
      <c r="F12" s="114">
        <v>0.18</v>
      </c>
      <c r="G12" s="114">
        <v>0.77</v>
      </c>
    </row>
    <row r="13" spans="2:7" x14ac:dyDescent="0.35">
      <c r="B13" s="20" t="s">
        <v>847</v>
      </c>
      <c r="C13" s="20" t="s">
        <v>926</v>
      </c>
      <c r="D13" s="114">
        <v>0.17</v>
      </c>
      <c r="E13" s="114">
        <v>-0.1</v>
      </c>
      <c r="F13" s="114">
        <v>-0.27</v>
      </c>
      <c r="G13" s="114" t="s">
        <v>927</v>
      </c>
    </row>
    <row r="14" spans="2:7" x14ac:dyDescent="0.35">
      <c r="B14" s="20" t="s">
        <v>847</v>
      </c>
      <c r="C14" s="20" t="s">
        <v>928</v>
      </c>
      <c r="D14" s="114">
        <v>1.1499999999999999</v>
      </c>
      <c r="E14" s="114">
        <v>0.35</v>
      </c>
      <c r="F14" s="114">
        <v>-0.8</v>
      </c>
      <c r="G14" s="114">
        <v>0.3</v>
      </c>
    </row>
    <row r="15" spans="2:7" x14ac:dyDescent="0.35">
      <c r="B15" s="20" t="s">
        <v>847</v>
      </c>
      <c r="C15" s="20" t="s">
        <v>929</v>
      </c>
      <c r="D15" s="114">
        <v>2.64</v>
      </c>
      <c r="E15" s="114">
        <v>0.65</v>
      </c>
      <c r="F15" s="114">
        <v>-1.99</v>
      </c>
      <c r="G15" s="114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Features by Cat</vt:lpstr>
      <vt:lpstr>Features</vt:lpstr>
      <vt:lpstr>Hyperparameters</vt:lpstr>
      <vt:lpstr>Top Features</vt:lpstr>
      <vt:lpstr>Top Seasons</vt:lpstr>
      <vt:lpstr>Top Averages</vt:lpstr>
      <vt:lpstr>By Decade</vt:lpstr>
      <vt:lpstr>Off vs Def</vt:lpstr>
      <vt:lpstr>Validation</vt:lpstr>
      <vt:lpstr>Persistence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Williamson</dc:creator>
  <cp:lastModifiedBy>Jon Williamson</cp:lastModifiedBy>
  <dcterms:created xsi:type="dcterms:W3CDTF">2025-10-30T15:42:08Z</dcterms:created>
  <dcterms:modified xsi:type="dcterms:W3CDTF">2025-11-05T14:46:42Z</dcterms:modified>
</cp:coreProperties>
</file>